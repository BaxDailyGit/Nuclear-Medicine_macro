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ajounm\Desktop\ajounm\for_study\"/>
    </mc:Choice>
  </mc:AlternateContent>
  <bookViews>
    <workbookView xWindow="0" yWindow="0" windowWidth="19905" windowHeight="19200"/>
  </bookViews>
  <sheets>
    <sheet name="Sheet1" sheetId="1" r:id="rId1"/>
  </sheets>
  <functionGroups builtInGroupCount="18"/>
  <definedNames>
    <definedName name="_xlnm._FilterDatabase" localSheetId="0" hidden="1">Sheet1!$A$1:$AK$1</definedName>
  </definedNames>
  <calcPr calcId="162913"/>
</workbook>
</file>

<file path=xl/calcChain.xml><?xml version="1.0" encoding="utf-8"?>
<calcChain xmlns="http://schemas.openxmlformats.org/spreadsheetml/2006/main">
  <c r="AB420" i="1" l="1"/>
  <c r="AI420" i="1"/>
  <c r="AK420" i="1" s="1"/>
  <c r="AH420" i="1"/>
  <c r="V420" i="1"/>
  <c r="R420" i="1"/>
  <c r="AA420" i="1" s="1"/>
  <c r="M420" i="1"/>
  <c r="I420" i="1"/>
  <c r="Z420" i="1" s="1"/>
  <c r="AI419" i="1" l="1"/>
  <c r="AK419" i="1" s="1"/>
  <c r="AH419" i="1"/>
  <c r="V419" i="1"/>
  <c r="R419" i="1"/>
  <c r="M419" i="1"/>
  <c r="I419" i="1"/>
  <c r="Z419" i="1" s="1"/>
  <c r="AI418" i="1"/>
  <c r="AK418" i="1" s="1"/>
  <c r="AH418" i="1"/>
  <c r="V418" i="1"/>
  <c r="R418" i="1"/>
  <c r="M418" i="1"/>
  <c r="I418" i="1"/>
  <c r="AI417" i="1"/>
  <c r="AK417" i="1" s="1"/>
  <c r="AH417" i="1"/>
  <c r="V417" i="1"/>
  <c r="R417" i="1"/>
  <c r="M417" i="1"/>
  <c r="I417" i="1"/>
  <c r="AI416" i="1"/>
  <c r="AK416" i="1" s="1"/>
  <c r="AH416" i="1"/>
  <c r="V416" i="1"/>
  <c r="R416" i="1"/>
  <c r="AA416" i="1" s="1"/>
  <c r="AB416" i="1" s="1"/>
  <c r="M416" i="1"/>
  <c r="I416" i="1"/>
  <c r="Z416" i="1" s="1"/>
  <c r="AI415" i="1"/>
  <c r="AK415" i="1" s="1"/>
  <c r="AH415" i="1"/>
  <c r="V415" i="1"/>
  <c r="R415" i="1"/>
  <c r="M415" i="1"/>
  <c r="I415" i="1"/>
  <c r="Z415" i="1" s="1"/>
  <c r="AI414" i="1"/>
  <c r="AK414" i="1" s="1"/>
  <c r="AH414" i="1"/>
  <c r="V414" i="1"/>
  <c r="R414" i="1"/>
  <c r="M414" i="1"/>
  <c r="I414" i="1"/>
  <c r="Z414" i="1" s="1"/>
  <c r="AA415" i="1" l="1"/>
  <c r="AB415" i="1" s="1"/>
  <c r="AA418" i="1"/>
  <c r="AB418" i="1" s="1"/>
  <c r="AA417" i="1"/>
  <c r="AA419" i="1"/>
  <c r="AB419" i="1" s="1"/>
  <c r="AA414" i="1"/>
  <c r="AB414" i="1" s="1"/>
  <c r="Z417" i="1"/>
  <c r="Z418" i="1"/>
  <c r="I393" i="1"/>
  <c r="AB417" i="1" l="1"/>
  <c r="AK413" i="1"/>
  <c r="AH413" i="1"/>
  <c r="Z413" i="1"/>
  <c r="V413" i="1"/>
  <c r="R413" i="1"/>
  <c r="M413" i="1"/>
  <c r="I413" i="1"/>
  <c r="AK412" i="1"/>
  <c r="AH412" i="1"/>
  <c r="Z412" i="1"/>
  <c r="V412" i="1"/>
  <c r="R412" i="1"/>
  <c r="M412" i="1"/>
  <c r="I412" i="1"/>
  <c r="AK411" i="1"/>
  <c r="AH411" i="1"/>
  <c r="V411" i="1"/>
  <c r="R411" i="1"/>
  <c r="AA411" i="1" s="1"/>
  <c r="M411" i="1"/>
  <c r="I411" i="1"/>
  <c r="Z411" i="1" s="1"/>
  <c r="AK410" i="1"/>
  <c r="AH410" i="1"/>
  <c r="V410" i="1"/>
  <c r="R410" i="1"/>
  <c r="AA410" i="1" s="1"/>
  <c r="M410" i="1"/>
  <c r="I410" i="1"/>
  <c r="Z410" i="1" s="1"/>
  <c r="AK409" i="1"/>
  <c r="AH409" i="1"/>
  <c r="V409" i="1"/>
  <c r="R409" i="1"/>
  <c r="AA409" i="1" s="1"/>
  <c r="M409" i="1"/>
  <c r="I409" i="1"/>
  <c r="Z409" i="1" s="1"/>
  <c r="AB409" i="1" s="1"/>
  <c r="AK408" i="1"/>
  <c r="AH408" i="1"/>
  <c r="V408" i="1"/>
  <c r="R408" i="1"/>
  <c r="AA408" i="1" s="1"/>
  <c r="M408" i="1"/>
  <c r="I408" i="1"/>
  <c r="Z408" i="1" s="1"/>
  <c r="AB408" i="1" s="1"/>
  <c r="AK407" i="1"/>
  <c r="AH407" i="1"/>
  <c r="V407" i="1"/>
  <c r="R407" i="1"/>
  <c r="AA407" i="1" s="1"/>
  <c r="M407" i="1"/>
  <c r="I407" i="1"/>
  <c r="AK406" i="1"/>
  <c r="AH406" i="1"/>
  <c r="V406" i="1"/>
  <c r="R406" i="1"/>
  <c r="M406" i="1"/>
  <c r="I406" i="1"/>
  <c r="Z406" i="1" s="1"/>
  <c r="AK405" i="1"/>
  <c r="AH405" i="1"/>
  <c r="V405" i="1"/>
  <c r="R405" i="1"/>
  <c r="M405" i="1"/>
  <c r="I405" i="1"/>
  <c r="Z405" i="1" s="1"/>
  <c r="AK404" i="1"/>
  <c r="AH404" i="1"/>
  <c r="V404" i="1"/>
  <c r="R404" i="1"/>
  <c r="M404" i="1"/>
  <c r="I404" i="1"/>
  <c r="Z404" i="1" s="1"/>
  <c r="AK403" i="1"/>
  <c r="AH403" i="1"/>
  <c r="V403" i="1"/>
  <c r="R403" i="1"/>
  <c r="AA403" i="1" s="1"/>
  <c r="M403" i="1"/>
  <c r="Z403" i="1" s="1"/>
  <c r="AB403" i="1" s="1"/>
  <c r="I403" i="1"/>
  <c r="AK402" i="1"/>
  <c r="AH402" i="1"/>
  <c r="V402" i="1"/>
  <c r="R402" i="1"/>
  <c r="AA402" i="1" s="1"/>
  <c r="M402" i="1"/>
  <c r="I402" i="1"/>
  <c r="AK401" i="1"/>
  <c r="AH401" i="1"/>
  <c r="V401" i="1"/>
  <c r="R401" i="1"/>
  <c r="M401" i="1"/>
  <c r="I401" i="1"/>
  <c r="AK400" i="1"/>
  <c r="AH400" i="1"/>
  <c r="V400" i="1"/>
  <c r="R400" i="1"/>
  <c r="AA400" i="1" s="1"/>
  <c r="M400" i="1"/>
  <c r="I400" i="1"/>
  <c r="AK399" i="1"/>
  <c r="AH399" i="1"/>
  <c r="V399" i="1"/>
  <c r="R399" i="1"/>
  <c r="AA399" i="1" s="1"/>
  <c r="M399" i="1"/>
  <c r="I399" i="1"/>
  <c r="AK398" i="1"/>
  <c r="AH398" i="1"/>
  <c r="V398" i="1"/>
  <c r="R398" i="1"/>
  <c r="AA398" i="1" s="1"/>
  <c r="M398" i="1"/>
  <c r="Z398" i="1" s="1"/>
  <c r="I398" i="1"/>
  <c r="AK397" i="1"/>
  <c r="AH397" i="1"/>
  <c r="Z397" i="1"/>
  <c r="V397" i="1"/>
  <c r="R397" i="1"/>
  <c r="AA397" i="1" s="1"/>
  <c r="AB397" i="1" s="1"/>
  <c r="M397" i="1"/>
  <c r="I397" i="1"/>
  <c r="AK396" i="1"/>
  <c r="AH396" i="1"/>
  <c r="V396" i="1"/>
  <c r="R396" i="1"/>
  <c r="AA396" i="1" s="1"/>
  <c r="AB396" i="1" s="1"/>
  <c r="M396" i="1"/>
  <c r="I396" i="1"/>
  <c r="Z396" i="1" s="1"/>
  <c r="AK395" i="1"/>
  <c r="AH395" i="1"/>
  <c r="Z395" i="1"/>
  <c r="V395" i="1"/>
  <c r="R395" i="1"/>
  <c r="M395" i="1"/>
  <c r="I395" i="1"/>
  <c r="AK394" i="1"/>
  <c r="AH394" i="1"/>
  <c r="Z394" i="1"/>
  <c r="V394" i="1"/>
  <c r="R394" i="1"/>
  <c r="AA394" i="1" s="1"/>
  <c r="M394" i="1"/>
  <c r="I394" i="1"/>
  <c r="AA405" i="1" l="1"/>
  <c r="AB405" i="1" s="1"/>
  <c r="AA406" i="1"/>
  <c r="AB406" i="1" s="1"/>
  <c r="Z407" i="1"/>
  <c r="AB407" i="1" s="1"/>
  <c r="AB399" i="1"/>
  <c r="AB411" i="1"/>
  <c r="AB394" i="1"/>
  <c r="Z399" i="1"/>
  <c r="Z400" i="1"/>
  <c r="AB400" i="1" s="1"/>
  <c r="Z401" i="1"/>
  <c r="Z402" i="1"/>
  <c r="AB402" i="1" s="1"/>
  <c r="AB398" i="1"/>
  <c r="AB410" i="1"/>
  <c r="AA401" i="1"/>
  <c r="AB401" i="1" s="1"/>
  <c r="AA395" i="1"/>
  <c r="AB395" i="1" s="1"/>
  <c r="AA404" i="1"/>
  <c r="AB404" i="1" s="1"/>
  <c r="AA412" i="1"/>
  <c r="AB412" i="1" s="1"/>
  <c r="AA413" i="1"/>
  <c r="AB413" i="1" s="1"/>
  <c r="AK393" i="1"/>
  <c r="AH393" i="1"/>
  <c r="V393" i="1"/>
  <c r="R393" i="1"/>
  <c r="M393" i="1"/>
  <c r="Z393" i="1"/>
  <c r="AK392" i="1"/>
  <c r="AH392" i="1"/>
  <c r="V392" i="1"/>
  <c r="R392" i="1"/>
  <c r="M392" i="1"/>
  <c r="I392" i="1"/>
  <c r="Z392" i="1" s="1"/>
  <c r="AK391" i="1"/>
  <c r="AH391" i="1"/>
  <c r="V391" i="1"/>
  <c r="R391" i="1"/>
  <c r="M391" i="1"/>
  <c r="I391" i="1"/>
  <c r="Z391" i="1" s="1"/>
  <c r="AK390" i="1"/>
  <c r="AH390" i="1"/>
  <c r="V390" i="1"/>
  <c r="R390" i="1"/>
  <c r="M390" i="1"/>
  <c r="I390" i="1"/>
  <c r="Z390" i="1" s="1"/>
  <c r="AK389" i="1"/>
  <c r="AH389" i="1"/>
  <c r="V389" i="1"/>
  <c r="R389" i="1"/>
  <c r="M389" i="1"/>
  <c r="I389" i="1"/>
  <c r="AK388" i="1"/>
  <c r="AH388" i="1"/>
  <c r="V388" i="1"/>
  <c r="R388" i="1"/>
  <c r="M388" i="1"/>
  <c r="I388" i="1"/>
  <c r="Z388" i="1" s="1"/>
  <c r="AK387" i="1"/>
  <c r="AH387" i="1"/>
  <c r="V387" i="1"/>
  <c r="R387" i="1"/>
  <c r="M387" i="1"/>
  <c r="I387" i="1"/>
  <c r="Z387" i="1" s="1"/>
  <c r="AK386" i="1"/>
  <c r="AH386" i="1"/>
  <c r="Z386" i="1"/>
  <c r="V386" i="1"/>
  <c r="R386" i="1"/>
  <c r="M386" i="1"/>
  <c r="I386" i="1"/>
  <c r="AK385" i="1"/>
  <c r="AH385" i="1"/>
  <c r="AA385" i="1"/>
  <c r="V385" i="1"/>
  <c r="R385" i="1"/>
  <c r="M385" i="1"/>
  <c r="I385" i="1"/>
  <c r="AK384" i="1"/>
  <c r="AH384" i="1"/>
  <c r="V384" i="1"/>
  <c r="R384" i="1"/>
  <c r="AA384" i="1" s="1"/>
  <c r="M384" i="1"/>
  <c r="I384" i="1"/>
  <c r="AK383" i="1"/>
  <c r="AH383" i="1"/>
  <c r="V383" i="1"/>
  <c r="R383" i="1"/>
  <c r="AA383" i="1" s="1"/>
  <c r="M383" i="1"/>
  <c r="I383" i="1"/>
  <c r="Z383" i="1" l="1"/>
  <c r="AB383" i="1" s="1"/>
  <c r="Z384" i="1"/>
  <c r="Z385" i="1"/>
  <c r="AB384" i="1"/>
  <c r="Z389" i="1"/>
  <c r="AB385" i="1"/>
  <c r="AA387" i="1"/>
  <c r="AB387" i="1" s="1"/>
  <c r="AA388" i="1"/>
  <c r="AB388" i="1" s="1"/>
  <c r="AA389" i="1"/>
  <c r="AA390" i="1"/>
  <c r="AB390" i="1" s="1"/>
  <c r="AA391" i="1"/>
  <c r="AB391" i="1" s="1"/>
  <c r="AA392" i="1"/>
  <c r="AB392" i="1" s="1"/>
  <c r="AA393" i="1"/>
  <c r="AB393" i="1" s="1"/>
  <c r="AA386" i="1"/>
  <c r="AB386" i="1" s="1"/>
  <c r="AK382" i="1"/>
  <c r="AH382" i="1"/>
  <c r="V382" i="1"/>
  <c r="R382" i="1"/>
  <c r="AA382" i="1" s="1"/>
  <c r="M382" i="1"/>
  <c r="I382" i="1"/>
  <c r="AK381" i="1"/>
  <c r="AH381" i="1"/>
  <c r="V381" i="1"/>
  <c r="R381" i="1"/>
  <c r="AA381" i="1" s="1"/>
  <c r="M381" i="1"/>
  <c r="I381" i="1"/>
  <c r="AK380" i="1"/>
  <c r="AH380" i="1"/>
  <c r="V380" i="1"/>
  <c r="R380" i="1"/>
  <c r="M380" i="1"/>
  <c r="I380" i="1"/>
  <c r="AK379" i="1"/>
  <c r="AH379" i="1"/>
  <c r="V379" i="1"/>
  <c r="R379" i="1"/>
  <c r="M379" i="1"/>
  <c r="I379" i="1"/>
  <c r="Z379" i="1" s="1"/>
  <c r="AK378" i="1"/>
  <c r="AH378" i="1"/>
  <c r="V378" i="1"/>
  <c r="R378" i="1"/>
  <c r="AA378" i="1" s="1"/>
  <c r="M378" i="1"/>
  <c r="I378" i="1"/>
  <c r="Z378" i="1" s="1"/>
  <c r="AK377" i="1"/>
  <c r="AH377" i="1"/>
  <c r="V377" i="1"/>
  <c r="R377" i="1"/>
  <c r="M377" i="1"/>
  <c r="I377" i="1"/>
  <c r="Z377" i="1" s="1"/>
  <c r="AK376" i="1"/>
  <c r="AH376" i="1"/>
  <c r="V376" i="1"/>
  <c r="R376" i="1"/>
  <c r="M376" i="1"/>
  <c r="I376" i="1"/>
  <c r="Z376" i="1" s="1"/>
  <c r="AK375" i="1"/>
  <c r="AH375" i="1"/>
  <c r="V375" i="1"/>
  <c r="R375" i="1"/>
  <c r="AA375" i="1" s="1"/>
  <c r="M375" i="1"/>
  <c r="I375" i="1"/>
  <c r="AK374" i="1"/>
  <c r="AH374" i="1"/>
  <c r="V374" i="1"/>
  <c r="R374" i="1"/>
  <c r="AA374" i="1" s="1"/>
  <c r="M374" i="1"/>
  <c r="I374" i="1"/>
  <c r="AK373" i="1"/>
  <c r="AH373" i="1"/>
  <c r="V373" i="1"/>
  <c r="R373" i="1"/>
  <c r="AA373" i="1" s="1"/>
  <c r="M373" i="1"/>
  <c r="I373" i="1"/>
  <c r="AK372" i="1"/>
  <c r="AH372" i="1"/>
  <c r="V372" i="1"/>
  <c r="R372" i="1"/>
  <c r="M372" i="1"/>
  <c r="I372" i="1"/>
  <c r="AK371" i="1"/>
  <c r="AH371" i="1"/>
  <c r="V371" i="1"/>
  <c r="R371" i="1"/>
  <c r="M371" i="1"/>
  <c r="I371" i="1"/>
  <c r="AK370" i="1"/>
  <c r="AH370" i="1"/>
  <c r="V370" i="1"/>
  <c r="R370" i="1"/>
  <c r="M370" i="1"/>
  <c r="I370" i="1"/>
  <c r="AK369" i="1"/>
  <c r="AH369" i="1"/>
  <c r="V369" i="1"/>
  <c r="R369" i="1"/>
  <c r="M369" i="1"/>
  <c r="I369" i="1"/>
  <c r="AK368" i="1"/>
  <c r="AH368" i="1"/>
  <c r="V368" i="1"/>
  <c r="R368" i="1"/>
  <c r="M368" i="1"/>
  <c r="I368" i="1"/>
  <c r="AK367" i="1"/>
  <c r="AH367" i="1"/>
  <c r="V367" i="1"/>
  <c r="R367" i="1"/>
  <c r="M367" i="1"/>
  <c r="I367" i="1"/>
  <c r="Z367" i="1" s="1"/>
  <c r="AK366" i="1"/>
  <c r="AH366" i="1"/>
  <c r="V366" i="1"/>
  <c r="AA366" i="1" s="1"/>
  <c r="R366" i="1"/>
  <c r="M366" i="1"/>
  <c r="I366" i="1"/>
  <c r="AK365" i="1"/>
  <c r="AH365" i="1"/>
  <c r="V365" i="1"/>
  <c r="R365" i="1"/>
  <c r="M365" i="1"/>
  <c r="I365" i="1"/>
  <c r="Z365" i="1" s="1"/>
  <c r="AA372" i="1" l="1"/>
  <c r="Z366" i="1"/>
  <c r="AB389" i="1"/>
  <c r="Z372" i="1"/>
  <c r="Z380" i="1"/>
  <c r="Z381" i="1"/>
  <c r="AB381" i="1" s="1"/>
  <c r="AA365" i="1"/>
  <c r="Z368" i="1"/>
  <c r="AB365" i="1"/>
  <c r="Z375" i="1"/>
  <c r="AB372" i="1"/>
  <c r="AB378" i="1"/>
  <c r="AA376" i="1"/>
  <c r="AB376" i="1" s="1"/>
  <c r="AA377" i="1"/>
  <c r="AB377" i="1" s="1"/>
  <c r="Z382" i="1"/>
  <c r="AB366" i="1"/>
  <c r="AB375" i="1"/>
  <c r="Z369" i="1"/>
  <c r="AA380" i="1"/>
  <c r="AB382" i="1"/>
  <c r="AA367" i="1"/>
  <c r="AB367" i="1" s="1"/>
  <c r="AA368" i="1"/>
  <c r="AB368" i="1" s="1"/>
  <c r="AA369" i="1"/>
  <c r="AB369" i="1" s="1"/>
  <c r="AA370" i="1"/>
  <c r="AA371" i="1"/>
  <c r="Z373" i="1"/>
  <c r="AB373" i="1" s="1"/>
  <c r="Z374" i="1"/>
  <c r="AB374" i="1" s="1"/>
  <c r="Z370" i="1"/>
  <c r="Z371" i="1"/>
  <c r="AA379" i="1"/>
  <c r="AB379" i="1" s="1"/>
  <c r="AK364" i="1"/>
  <c r="AH364" i="1"/>
  <c r="V364" i="1"/>
  <c r="R364" i="1"/>
  <c r="AA364" i="1" s="1"/>
  <c r="M364" i="1"/>
  <c r="I364" i="1"/>
  <c r="AK363" i="1"/>
  <c r="AH363" i="1"/>
  <c r="V363" i="1"/>
  <c r="R363" i="1"/>
  <c r="AA363" i="1" s="1"/>
  <c r="M363" i="1"/>
  <c r="I363" i="1"/>
  <c r="AK362" i="1"/>
  <c r="AH362" i="1"/>
  <c r="V362" i="1"/>
  <c r="R362" i="1"/>
  <c r="M362" i="1"/>
  <c r="I362" i="1"/>
  <c r="AK361" i="1"/>
  <c r="AH361" i="1"/>
  <c r="V361" i="1"/>
  <c r="R361" i="1"/>
  <c r="AA361" i="1" s="1"/>
  <c r="M361" i="1"/>
  <c r="I361" i="1"/>
  <c r="AK360" i="1"/>
  <c r="AH360" i="1"/>
  <c r="V360" i="1"/>
  <c r="R360" i="1"/>
  <c r="M360" i="1"/>
  <c r="I360" i="1"/>
  <c r="AK359" i="1"/>
  <c r="AH359" i="1"/>
  <c r="V359" i="1"/>
  <c r="R359" i="1"/>
  <c r="M359" i="1"/>
  <c r="I359" i="1"/>
  <c r="AK358" i="1"/>
  <c r="AH358" i="1"/>
  <c r="V358" i="1"/>
  <c r="R358" i="1"/>
  <c r="M358" i="1"/>
  <c r="I358" i="1"/>
  <c r="AK357" i="1"/>
  <c r="AH357" i="1"/>
  <c r="V357" i="1"/>
  <c r="R357" i="1"/>
  <c r="M357" i="1"/>
  <c r="I357" i="1"/>
  <c r="AK356" i="1"/>
  <c r="AH356" i="1"/>
  <c r="V356" i="1"/>
  <c r="R356" i="1"/>
  <c r="M356" i="1"/>
  <c r="I356" i="1"/>
  <c r="AK355" i="1"/>
  <c r="AH355" i="1"/>
  <c r="V355" i="1"/>
  <c r="R355" i="1"/>
  <c r="M355" i="1"/>
  <c r="I355" i="1"/>
  <c r="AK354" i="1"/>
  <c r="AH354" i="1"/>
  <c r="V354" i="1"/>
  <c r="R354" i="1"/>
  <c r="M354" i="1"/>
  <c r="I354" i="1"/>
  <c r="AK353" i="1"/>
  <c r="AH353" i="1"/>
  <c r="V353" i="1"/>
  <c r="R353" i="1"/>
  <c r="M353" i="1"/>
  <c r="I353" i="1"/>
  <c r="AK352" i="1"/>
  <c r="AH352" i="1"/>
  <c r="V352" i="1"/>
  <c r="R352" i="1"/>
  <c r="M352" i="1"/>
  <c r="I352" i="1"/>
  <c r="AK351" i="1"/>
  <c r="AH351" i="1"/>
  <c r="V351" i="1"/>
  <c r="R351" i="1"/>
  <c r="M351" i="1"/>
  <c r="I351" i="1"/>
  <c r="AK350" i="1"/>
  <c r="AH350" i="1"/>
  <c r="V350" i="1"/>
  <c r="R350" i="1"/>
  <c r="M350" i="1"/>
  <c r="I350" i="1"/>
  <c r="AK349" i="1"/>
  <c r="AH349" i="1"/>
  <c r="V349" i="1"/>
  <c r="R349" i="1"/>
  <c r="M349" i="1"/>
  <c r="I349" i="1"/>
  <c r="AK348" i="1"/>
  <c r="AH348" i="1"/>
  <c r="V348" i="1"/>
  <c r="R348" i="1"/>
  <c r="M348" i="1"/>
  <c r="I348" i="1"/>
  <c r="AK347" i="1"/>
  <c r="AH347" i="1"/>
  <c r="V347" i="1"/>
  <c r="R347" i="1"/>
  <c r="M347" i="1"/>
  <c r="I347" i="1"/>
  <c r="AB380" i="1" l="1"/>
  <c r="AB370" i="1"/>
  <c r="Z352" i="1"/>
  <c r="Z353" i="1"/>
  <c r="Z354" i="1"/>
  <c r="Z355" i="1"/>
  <c r="AB355" i="1" s="1"/>
  <c r="Z356" i="1"/>
  <c r="Z357" i="1"/>
  <c r="Z358" i="1"/>
  <c r="Z359" i="1"/>
  <c r="Z360" i="1"/>
  <c r="AB360" i="1" s="1"/>
  <c r="Z363" i="1"/>
  <c r="AB363" i="1" s="1"/>
  <c r="AB371" i="1"/>
  <c r="AA360" i="1"/>
  <c r="Z351" i="1"/>
  <c r="AA347" i="1"/>
  <c r="AA348" i="1"/>
  <c r="AA349" i="1"/>
  <c r="AB349" i="1" s="1"/>
  <c r="AA350" i="1"/>
  <c r="AA351" i="1"/>
  <c r="AA355" i="1"/>
  <c r="AA356" i="1"/>
  <c r="AA357" i="1"/>
  <c r="AB357" i="1" s="1"/>
  <c r="AA358" i="1"/>
  <c r="AB358" i="1" s="1"/>
  <c r="AA359" i="1"/>
  <c r="Z361" i="1"/>
  <c r="AB361" i="1" s="1"/>
  <c r="Z362" i="1"/>
  <c r="AA352" i="1"/>
  <c r="AB352" i="1" s="1"/>
  <c r="AA353" i="1"/>
  <c r="AB353" i="1" s="1"/>
  <c r="AA354" i="1"/>
  <c r="AB354" i="1" s="1"/>
  <c r="Z347" i="1"/>
  <c r="Z348" i="1"/>
  <c r="Z349" i="1"/>
  <c r="Z350" i="1"/>
  <c r="AB350" i="1" s="1"/>
  <c r="Z364" i="1"/>
  <c r="AB364" i="1" s="1"/>
  <c r="AA362" i="1"/>
  <c r="AB362" i="1" s="1"/>
  <c r="AK346" i="1"/>
  <c r="AH346" i="1"/>
  <c r="V346" i="1"/>
  <c r="R346" i="1"/>
  <c r="M346" i="1"/>
  <c r="I346" i="1"/>
  <c r="AK345" i="1"/>
  <c r="AH345" i="1"/>
  <c r="V345" i="1"/>
  <c r="R345" i="1"/>
  <c r="M345" i="1"/>
  <c r="I345" i="1"/>
  <c r="AK344" i="1"/>
  <c r="AH344" i="1"/>
  <c r="V344" i="1"/>
  <c r="R344" i="1"/>
  <c r="M344" i="1"/>
  <c r="I344" i="1"/>
  <c r="AK343" i="1"/>
  <c r="AH343" i="1"/>
  <c r="V343" i="1"/>
  <c r="R343" i="1"/>
  <c r="M343" i="1"/>
  <c r="I343" i="1"/>
  <c r="AK342" i="1"/>
  <c r="AH342" i="1"/>
  <c r="V342" i="1"/>
  <c r="R342" i="1"/>
  <c r="M342" i="1"/>
  <c r="I342" i="1"/>
  <c r="AK341" i="1"/>
  <c r="AH341" i="1"/>
  <c r="V341" i="1"/>
  <c r="R341" i="1"/>
  <c r="M341" i="1"/>
  <c r="I341" i="1"/>
  <c r="AK340" i="1"/>
  <c r="AH340" i="1"/>
  <c r="V340" i="1"/>
  <c r="R340" i="1"/>
  <c r="M340" i="1"/>
  <c r="I340" i="1"/>
  <c r="AK339" i="1"/>
  <c r="AH339" i="1"/>
  <c r="V339" i="1"/>
  <c r="R339" i="1"/>
  <c r="M339" i="1"/>
  <c r="I339" i="1"/>
  <c r="Z339" i="1" s="1"/>
  <c r="AK338" i="1"/>
  <c r="AH338" i="1"/>
  <c r="V338" i="1"/>
  <c r="R338" i="1"/>
  <c r="M338" i="1"/>
  <c r="I338" i="1"/>
  <c r="AK337" i="1"/>
  <c r="AH337" i="1"/>
  <c r="V337" i="1"/>
  <c r="R337" i="1"/>
  <c r="M337" i="1"/>
  <c r="I337" i="1"/>
  <c r="Z337" i="1" s="1"/>
  <c r="AK336" i="1"/>
  <c r="AH336" i="1"/>
  <c r="V336" i="1"/>
  <c r="R336" i="1"/>
  <c r="M336" i="1"/>
  <c r="I336" i="1"/>
  <c r="AK335" i="1"/>
  <c r="AH335" i="1"/>
  <c r="V335" i="1"/>
  <c r="R335" i="1"/>
  <c r="M335" i="1"/>
  <c r="I335" i="1"/>
  <c r="AK334" i="1"/>
  <c r="AH334" i="1"/>
  <c r="V334" i="1"/>
  <c r="R334" i="1"/>
  <c r="M334" i="1"/>
  <c r="I334" i="1"/>
  <c r="Z334" i="1" s="1"/>
  <c r="AK333" i="1"/>
  <c r="AH333" i="1"/>
  <c r="V333" i="1"/>
  <c r="R333" i="1"/>
  <c r="M333" i="1"/>
  <c r="I333" i="1"/>
  <c r="Z333" i="1" s="1"/>
  <c r="AK332" i="1"/>
  <c r="AH332" i="1"/>
  <c r="V332" i="1"/>
  <c r="R332" i="1"/>
  <c r="M332" i="1"/>
  <c r="I332" i="1"/>
  <c r="AK331" i="1"/>
  <c r="AH331" i="1"/>
  <c r="V331" i="1"/>
  <c r="R331" i="1"/>
  <c r="M331" i="1"/>
  <c r="I331" i="1"/>
  <c r="AK330" i="1"/>
  <c r="AH330" i="1"/>
  <c r="V330" i="1"/>
  <c r="R330" i="1"/>
  <c r="M330" i="1"/>
  <c r="I330" i="1"/>
  <c r="AK329" i="1"/>
  <c r="AH329" i="1"/>
  <c r="V329" i="1"/>
  <c r="R329" i="1"/>
  <c r="M329" i="1"/>
  <c r="I329" i="1"/>
  <c r="AK328" i="1"/>
  <c r="AH328" i="1"/>
  <c r="V328" i="1"/>
  <c r="R328" i="1"/>
  <c r="M328" i="1"/>
  <c r="I328" i="1"/>
  <c r="AK327" i="1"/>
  <c r="AH327" i="1"/>
  <c r="V327" i="1"/>
  <c r="R327" i="1"/>
  <c r="M327" i="1"/>
  <c r="I327" i="1"/>
  <c r="AK326" i="1"/>
  <c r="AH326" i="1"/>
  <c r="V326" i="1"/>
  <c r="R326" i="1"/>
  <c r="M326" i="1"/>
  <c r="I326" i="1"/>
  <c r="AK325" i="1"/>
  <c r="AH325" i="1"/>
  <c r="V325" i="1"/>
  <c r="R325" i="1"/>
  <c r="M325" i="1"/>
  <c r="I325" i="1"/>
  <c r="Z325" i="1" s="1"/>
  <c r="AK324" i="1"/>
  <c r="AH324" i="1"/>
  <c r="V324" i="1"/>
  <c r="R324" i="1"/>
  <c r="M324" i="1"/>
  <c r="I324" i="1"/>
  <c r="Z324" i="1" s="1"/>
  <c r="AB348" i="1" l="1"/>
  <c r="AB356" i="1"/>
  <c r="AB347" i="1"/>
  <c r="AB351" i="1"/>
  <c r="AB359" i="1"/>
  <c r="Z340" i="1"/>
  <c r="Z345" i="1"/>
  <c r="Z335" i="1"/>
  <c r="Z341" i="1"/>
  <c r="Z342" i="1"/>
  <c r="Z343" i="1"/>
  <c r="AA326" i="1"/>
  <c r="AA327" i="1"/>
  <c r="AA328" i="1"/>
  <c r="AA329" i="1"/>
  <c r="AA330" i="1"/>
  <c r="AA332" i="1"/>
  <c r="AA333" i="1"/>
  <c r="Z346" i="1"/>
  <c r="Z327" i="1"/>
  <c r="Z328" i="1"/>
  <c r="Z329" i="1"/>
  <c r="Z330" i="1"/>
  <c r="Z331" i="1"/>
  <c r="Z332" i="1"/>
  <c r="AA324" i="1"/>
  <c r="AB324" i="1" s="1"/>
  <c r="AA336" i="1"/>
  <c r="AA338" i="1"/>
  <c r="AA339" i="1"/>
  <c r="AB339" i="1" s="1"/>
  <c r="AA340" i="1"/>
  <c r="AB340" i="1" s="1"/>
  <c r="AA341" i="1"/>
  <c r="AA342" i="1"/>
  <c r="AA344" i="1"/>
  <c r="AA345" i="1"/>
  <c r="Z336" i="1"/>
  <c r="AB333" i="1"/>
  <c r="Z326" i="1"/>
  <c r="AA334" i="1"/>
  <c r="AB334" i="1" s="1"/>
  <c r="AA335" i="1"/>
  <c r="AB335" i="1" s="1"/>
  <c r="AA346" i="1"/>
  <c r="AB342" i="1"/>
  <c r="Z338" i="1"/>
  <c r="Z344" i="1"/>
  <c r="AA325" i="1"/>
  <c r="AB325" i="1" s="1"/>
  <c r="AA331" i="1"/>
  <c r="AA337" i="1"/>
  <c r="AB337" i="1" s="1"/>
  <c r="AA343" i="1"/>
  <c r="AB343" i="1" s="1"/>
  <c r="AK323" i="1"/>
  <c r="AH323" i="1"/>
  <c r="V323" i="1"/>
  <c r="R323" i="1"/>
  <c r="M323" i="1"/>
  <c r="I323" i="1"/>
  <c r="AK322" i="1"/>
  <c r="AH322" i="1"/>
  <c r="V322" i="1"/>
  <c r="R322" i="1"/>
  <c r="M322" i="1"/>
  <c r="I322" i="1"/>
  <c r="Z322" i="1" s="1"/>
  <c r="AK321" i="1"/>
  <c r="AH321" i="1"/>
  <c r="V321" i="1"/>
  <c r="R321" i="1"/>
  <c r="M321" i="1"/>
  <c r="I321" i="1"/>
  <c r="AI320" i="1"/>
  <c r="AK320" i="1" s="1"/>
  <c r="AH320" i="1"/>
  <c r="V320" i="1"/>
  <c r="R320" i="1"/>
  <c r="M320" i="1"/>
  <c r="I320" i="1"/>
  <c r="AI319" i="1"/>
  <c r="AK319" i="1" s="1"/>
  <c r="AH319" i="1"/>
  <c r="V319" i="1"/>
  <c r="R319" i="1"/>
  <c r="M319" i="1"/>
  <c r="I319" i="1"/>
  <c r="Z319" i="1" s="1"/>
  <c r="AI318" i="1"/>
  <c r="AK318" i="1" s="1"/>
  <c r="AH318" i="1"/>
  <c r="V318" i="1"/>
  <c r="R318" i="1"/>
  <c r="M318" i="1"/>
  <c r="I318" i="1"/>
  <c r="AI317" i="1"/>
  <c r="AK317" i="1" s="1"/>
  <c r="AH317" i="1"/>
  <c r="V317" i="1"/>
  <c r="R317" i="1"/>
  <c r="M317" i="1"/>
  <c r="I317" i="1"/>
  <c r="AI316" i="1"/>
  <c r="AK316" i="1" s="1"/>
  <c r="AH316" i="1"/>
  <c r="V316" i="1"/>
  <c r="R316" i="1"/>
  <c r="M316" i="1"/>
  <c r="I316" i="1"/>
  <c r="AI315" i="1"/>
  <c r="AK315" i="1" s="1"/>
  <c r="AH315" i="1"/>
  <c r="V315" i="1"/>
  <c r="R315" i="1"/>
  <c r="M315" i="1"/>
  <c r="I315" i="1"/>
  <c r="Z315" i="1" s="1"/>
  <c r="AI314" i="1"/>
  <c r="AK314" i="1" s="1"/>
  <c r="AH314" i="1"/>
  <c r="V314" i="1"/>
  <c r="R314" i="1"/>
  <c r="M314" i="1"/>
  <c r="I314" i="1"/>
  <c r="AI313" i="1"/>
  <c r="AK313" i="1" s="1"/>
  <c r="AH313" i="1"/>
  <c r="V313" i="1"/>
  <c r="R313" i="1"/>
  <c r="M313" i="1"/>
  <c r="I313" i="1"/>
  <c r="AI312" i="1"/>
  <c r="AK312" i="1" s="1"/>
  <c r="AH312" i="1"/>
  <c r="V312" i="1"/>
  <c r="R312" i="1"/>
  <c r="M312" i="1"/>
  <c r="I312" i="1"/>
  <c r="AI311" i="1"/>
  <c r="AK311" i="1" s="1"/>
  <c r="AH311" i="1"/>
  <c r="V311" i="1"/>
  <c r="R311" i="1"/>
  <c r="M311" i="1"/>
  <c r="I311" i="1"/>
  <c r="AI310" i="1"/>
  <c r="AK310" i="1" s="1"/>
  <c r="AH310" i="1"/>
  <c r="V310" i="1"/>
  <c r="R310" i="1"/>
  <c r="M310" i="1"/>
  <c r="I310" i="1"/>
  <c r="AI309" i="1"/>
  <c r="AK309" i="1" s="1"/>
  <c r="AH309" i="1"/>
  <c r="V309" i="1"/>
  <c r="R309" i="1"/>
  <c r="M309" i="1"/>
  <c r="I309" i="1"/>
  <c r="Z309" i="1" s="1"/>
  <c r="AI308" i="1"/>
  <c r="AK308" i="1" s="1"/>
  <c r="AH308" i="1"/>
  <c r="V308" i="1"/>
  <c r="R308" i="1"/>
  <c r="M308" i="1"/>
  <c r="I308" i="1"/>
  <c r="AI307" i="1"/>
  <c r="AK307" i="1" s="1"/>
  <c r="AH307" i="1"/>
  <c r="V307" i="1"/>
  <c r="R307" i="1"/>
  <c r="M307" i="1"/>
  <c r="I307" i="1"/>
  <c r="Z307" i="1" s="1"/>
  <c r="AI306" i="1"/>
  <c r="AK306" i="1" s="1"/>
  <c r="AH306" i="1"/>
  <c r="V306" i="1"/>
  <c r="R306" i="1"/>
  <c r="M306" i="1"/>
  <c r="I306" i="1"/>
  <c r="AI305" i="1"/>
  <c r="AK305" i="1" s="1"/>
  <c r="AH305" i="1"/>
  <c r="V305" i="1"/>
  <c r="R305" i="1"/>
  <c r="M305" i="1"/>
  <c r="I305" i="1"/>
  <c r="Z305" i="1" s="1"/>
  <c r="AB329" i="1" l="1"/>
  <c r="AB345" i="1"/>
  <c r="AB331" i="1"/>
  <c r="AB341" i="1"/>
  <c r="AB327" i="1"/>
  <c r="Z313" i="1"/>
  <c r="Z317" i="1"/>
  <c r="AB328" i="1"/>
  <c r="AB346" i="1"/>
  <c r="AB330" i="1"/>
  <c r="AB326" i="1"/>
  <c r="AB344" i="1"/>
  <c r="AA323" i="1"/>
  <c r="AB332" i="1"/>
  <c r="AB336" i="1"/>
  <c r="AB338" i="1"/>
  <c r="AA306" i="1"/>
  <c r="AA315" i="1"/>
  <c r="AB315" i="1" s="1"/>
  <c r="AA317" i="1"/>
  <c r="AB317" i="1" s="1"/>
  <c r="AA321" i="1"/>
  <c r="AA322" i="1"/>
  <c r="AB322" i="1" s="1"/>
  <c r="AA318" i="1"/>
  <c r="Z310" i="1"/>
  <c r="Z321" i="1"/>
  <c r="AA305" i="1"/>
  <c r="AB305" i="1" s="1"/>
  <c r="AA309" i="1"/>
  <c r="AB309" i="1" s="1"/>
  <c r="AA311" i="1"/>
  <c r="AA313" i="1"/>
  <c r="Z312" i="1"/>
  <c r="Z306" i="1"/>
  <c r="AA314" i="1"/>
  <c r="AA308" i="1"/>
  <c r="AA320" i="1"/>
  <c r="AA310" i="1"/>
  <c r="Z314" i="1"/>
  <c r="AA312" i="1"/>
  <c r="Z316" i="1"/>
  <c r="Z318" i="1"/>
  <c r="AA307" i="1"/>
  <c r="AB307" i="1" s="1"/>
  <c r="Z308" i="1"/>
  <c r="Z311" i="1"/>
  <c r="AA316" i="1"/>
  <c r="AA319" i="1"/>
  <c r="AB319" i="1" s="1"/>
  <c r="Z320" i="1"/>
  <c r="Z323" i="1"/>
  <c r="AI304" i="1"/>
  <c r="AK304" i="1" s="1"/>
  <c r="AH304" i="1"/>
  <c r="V304" i="1"/>
  <c r="R304" i="1"/>
  <c r="M304" i="1"/>
  <c r="I304" i="1"/>
  <c r="AI303" i="1"/>
  <c r="AK303" i="1" s="1"/>
  <c r="AH303" i="1"/>
  <c r="V303" i="1"/>
  <c r="R303" i="1"/>
  <c r="M303" i="1"/>
  <c r="I303" i="1"/>
  <c r="AI302" i="1"/>
  <c r="AK302" i="1" s="1"/>
  <c r="AH302" i="1"/>
  <c r="V302" i="1"/>
  <c r="R302" i="1"/>
  <c r="M302" i="1"/>
  <c r="I302" i="1"/>
  <c r="AI301" i="1"/>
  <c r="AK301" i="1" s="1"/>
  <c r="AH301" i="1"/>
  <c r="V301" i="1"/>
  <c r="R301" i="1"/>
  <c r="M301" i="1"/>
  <c r="I301" i="1"/>
  <c r="AI300" i="1"/>
  <c r="AK300" i="1" s="1"/>
  <c r="AH300" i="1"/>
  <c r="V300" i="1"/>
  <c r="R300" i="1"/>
  <c r="M300" i="1"/>
  <c r="I300" i="1"/>
  <c r="AI299" i="1"/>
  <c r="AK299" i="1" s="1"/>
  <c r="AH299" i="1"/>
  <c r="V299" i="1"/>
  <c r="R299" i="1"/>
  <c r="M299" i="1"/>
  <c r="I299" i="1"/>
  <c r="AI298" i="1"/>
  <c r="AK298" i="1" s="1"/>
  <c r="AH298" i="1"/>
  <c r="V298" i="1"/>
  <c r="R298" i="1"/>
  <c r="M298" i="1"/>
  <c r="I298" i="1"/>
  <c r="AI297" i="1"/>
  <c r="AK297" i="1" s="1"/>
  <c r="AH297" i="1"/>
  <c r="V297" i="1"/>
  <c r="R297" i="1"/>
  <c r="M297" i="1"/>
  <c r="I297" i="1"/>
  <c r="AI296" i="1"/>
  <c r="AK296" i="1" s="1"/>
  <c r="AH296" i="1"/>
  <c r="V296" i="1"/>
  <c r="R296" i="1"/>
  <c r="M296" i="1"/>
  <c r="I296" i="1"/>
  <c r="AI295" i="1"/>
  <c r="AK295" i="1" s="1"/>
  <c r="AH295" i="1"/>
  <c r="V295" i="1"/>
  <c r="R295" i="1"/>
  <c r="M295" i="1"/>
  <c r="I295" i="1"/>
  <c r="AI294" i="1"/>
  <c r="AK294" i="1" s="1"/>
  <c r="AH294" i="1"/>
  <c r="V294" i="1"/>
  <c r="R294" i="1"/>
  <c r="M294" i="1"/>
  <c r="I294" i="1"/>
  <c r="AI293" i="1"/>
  <c r="AK293" i="1" s="1"/>
  <c r="AH293" i="1"/>
  <c r="V293" i="1"/>
  <c r="R293" i="1"/>
  <c r="M293" i="1"/>
  <c r="I293" i="1"/>
  <c r="AI292" i="1"/>
  <c r="AK292" i="1" s="1"/>
  <c r="AH292" i="1"/>
  <c r="V292" i="1"/>
  <c r="R292" i="1"/>
  <c r="M292" i="1"/>
  <c r="I292" i="1"/>
  <c r="AI291" i="1"/>
  <c r="AK291" i="1" s="1"/>
  <c r="AH291" i="1"/>
  <c r="V291" i="1"/>
  <c r="R291" i="1"/>
  <c r="M291" i="1"/>
  <c r="I291" i="1"/>
  <c r="AI290" i="1"/>
  <c r="AK290" i="1" s="1"/>
  <c r="AH290" i="1"/>
  <c r="V290" i="1"/>
  <c r="R290" i="1"/>
  <c r="M290" i="1"/>
  <c r="I290" i="1"/>
  <c r="AI289" i="1"/>
  <c r="AK289" i="1" s="1"/>
  <c r="AH289" i="1"/>
  <c r="V289" i="1"/>
  <c r="R289" i="1"/>
  <c r="M289" i="1"/>
  <c r="I289" i="1"/>
  <c r="AB313" i="1" l="1"/>
  <c r="AA289" i="1"/>
  <c r="AA290" i="1"/>
  <c r="AB323" i="1"/>
  <c r="Z289" i="1"/>
  <c r="Z293" i="1"/>
  <c r="Z299" i="1"/>
  <c r="Z303" i="1"/>
  <c r="AB320" i="1"/>
  <c r="AB306" i="1"/>
  <c r="AA291" i="1"/>
  <c r="AA292" i="1"/>
  <c r="AA293" i="1"/>
  <c r="Z294" i="1"/>
  <c r="Z296" i="1"/>
  <c r="AB318" i="1"/>
  <c r="Z295" i="1"/>
  <c r="AA302" i="1"/>
  <c r="AB316" i="1"/>
  <c r="AB312" i="1"/>
  <c r="AB321" i="1"/>
  <c r="AA294" i="1"/>
  <c r="AB289" i="1"/>
  <c r="AB311" i="1"/>
  <c r="AB310" i="1"/>
  <c r="Z298" i="1"/>
  <c r="Z291" i="1"/>
  <c r="AA298" i="1"/>
  <c r="Z300" i="1"/>
  <c r="Z301" i="1"/>
  <c r="Z290" i="1"/>
  <c r="AB290" i="1" s="1"/>
  <c r="AA301" i="1"/>
  <c r="AB308" i="1"/>
  <c r="AA296" i="1"/>
  <c r="Z297" i="1"/>
  <c r="AA303" i="1"/>
  <c r="AB314" i="1"/>
  <c r="AA295" i="1"/>
  <c r="AA300" i="1"/>
  <c r="Z302" i="1"/>
  <c r="Z292" i="1"/>
  <c r="AA297" i="1"/>
  <c r="Z304" i="1"/>
  <c r="AA299" i="1"/>
  <c r="AB299" i="1" s="1"/>
  <c r="AA304" i="1"/>
  <c r="AI288" i="1"/>
  <c r="AK288" i="1" s="1"/>
  <c r="AH288" i="1"/>
  <c r="V288" i="1"/>
  <c r="R288" i="1"/>
  <c r="M288" i="1"/>
  <c r="I288" i="1"/>
  <c r="AI287" i="1"/>
  <c r="AK287" i="1" s="1"/>
  <c r="AH287" i="1"/>
  <c r="V287" i="1"/>
  <c r="R287" i="1"/>
  <c r="M287" i="1"/>
  <c r="I287" i="1"/>
  <c r="AI286" i="1"/>
  <c r="AK286" i="1" s="1"/>
  <c r="AH286" i="1"/>
  <c r="V286" i="1"/>
  <c r="R286" i="1"/>
  <c r="M286" i="1"/>
  <c r="I286" i="1"/>
  <c r="AI285" i="1"/>
  <c r="AK285" i="1" s="1"/>
  <c r="AH285" i="1"/>
  <c r="V285" i="1"/>
  <c r="R285" i="1"/>
  <c r="M285" i="1"/>
  <c r="I285" i="1"/>
  <c r="AI284" i="1"/>
  <c r="AK284" i="1" s="1"/>
  <c r="AH284" i="1"/>
  <c r="V284" i="1"/>
  <c r="R284" i="1"/>
  <c r="M284" i="1"/>
  <c r="I284" i="1"/>
  <c r="AI283" i="1"/>
  <c r="AK283" i="1" s="1"/>
  <c r="AH283" i="1"/>
  <c r="V283" i="1"/>
  <c r="R283" i="1"/>
  <c r="M283" i="1"/>
  <c r="I283" i="1"/>
  <c r="AI282" i="1"/>
  <c r="AK282" i="1" s="1"/>
  <c r="AH282" i="1"/>
  <c r="V282" i="1"/>
  <c r="R282" i="1"/>
  <c r="M282" i="1"/>
  <c r="I282" i="1"/>
  <c r="AI281" i="1"/>
  <c r="AK281" i="1" s="1"/>
  <c r="AH281" i="1"/>
  <c r="V281" i="1"/>
  <c r="R281" i="1"/>
  <c r="M281" i="1"/>
  <c r="I281" i="1"/>
  <c r="AI280" i="1"/>
  <c r="AK280" i="1" s="1"/>
  <c r="AH280" i="1"/>
  <c r="V280" i="1"/>
  <c r="R280" i="1"/>
  <c r="M280" i="1"/>
  <c r="I280" i="1"/>
  <c r="AI279" i="1"/>
  <c r="AK279" i="1" s="1"/>
  <c r="AH279" i="1"/>
  <c r="V279" i="1"/>
  <c r="R279" i="1"/>
  <c r="M279" i="1"/>
  <c r="I279" i="1"/>
  <c r="AI278" i="1"/>
  <c r="AK278" i="1" s="1"/>
  <c r="AH278" i="1"/>
  <c r="V278" i="1"/>
  <c r="R278" i="1"/>
  <c r="M278" i="1"/>
  <c r="I278" i="1"/>
  <c r="AI277" i="1"/>
  <c r="AK277" i="1" s="1"/>
  <c r="AH277" i="1"/>
  <c r="V277" i="1"/>
  <c r="R277" i="1"/>
  <c r="M277" i="1"/>
  <c r="I277" i="1"/>
  <c r="AI276" i="1"/>
  <c r="AK276" i="1" s="1"/>
  <c r="AH276" i="1"/>
  <c r="V276" i="1"/>
  <c r="R276" i="1"/>
  <c r="M276" i="1"/>
  <c r="I276" i="1"/>
  <c r="AI275" i="1"/>
  <c r="AK275" i="1" s="1"/>
  <c r="AH275" i="1"/>
  <c r="V275" i="1"/>
  <c r="R275" i="1"/>
  <c r="M275" i="1"/>
  <c r="I275" i="1"/>
  <c r="AI274" i="1"/>
  <c r="AK274" i="1" s="1"/>
  <c r="AH274" i="1"/>
  <c r="V274" i="1"/>
  <c r="R274" i="1"/>
  <c r="M274" i="1"/>
  <c r="I274" i="1"/>
  <c r="AI273" i="1"/>
  <c r="AK273" i="1" s="1"/>
  <c r="AH273" i="1"/>
  <c r="V273" i="1"/>
  <c r="R273" i="1"/>
  <c r="M273" i="1"/>
  <c r="I273" i="1"/>
  <c r="AI272" i="1"/>
  <c r="AK272" i="1" s="1"/>
  <c r="AH272" i="1"/>
  <c r="V272" i="1"/>
  <c r="R272" i="1"/>
  <c r="M272" i="1"/>
  <c r="I272" i="1"/>
  <c r="AI271" i="1"/>
  <c r="AK271" i="1" s="1"/>
  <c r="AH271" i="1"/>
  <c r="V271" i="1"/>
  <c r="R271" i="1"/>
  <c r="M271" i="1"/>
  <c r="I271" i="1"/>
  <c r="AI270" i="1"/>
  <c r="AK270" i="1" s="1"/>
  <c r="AH270" i="1"/>
  <c r="V270" i="1"/>
  <c r="R270" i="1"/>
  <c r="M270" i="1"/>
  <c r="I270" i="1"/>
  <c r="AI269" i="1"/>
  <c r="AK269" i="1" s="1"/>
  <c r="AH269" i="1"/>
  <c r="V269" i="1"/>
  <c r="R269" i="1"/>
  <c r="M269" i="1"/>
  <c r="I269" i="1"/>
  <c r="AI268" i="1"/>
  <c r="AK268" i="1" s="1"/>
  <c r="AH268" i="1"/>
  <c r="V268" i="1"/>
  <c r="R268" i="1"/>
  <c r="M268" i="1"/>
  <c r="I268" i="1"/>
  <c r="AI267" i="1"/>
  <c r="AK267" i="1" s="1"/>
  <c r="AH267" i="1"/>
  <c r="V267" i="1"/>
  <c r="R267" i="1"/>
  <c r="M267" i="1"/>
  <c r="I267" i="1"/>
  <c r="AI266" i="1"/>
  <c r="AK266" i="1" s="1"/>
  <c r="AH266" i="1"/>
  <c r="V266" i="1"/>
  <c r="R266" i="1"/>
  <c r="M266" i="1"/>
  <c r="I266" i="1"/>
  <c r="AI265" i="1"/>
  <c r="AK265" i="1" s="1"/>
  <c r="AH265" i="1"/>
  <c r="V265" i="1"/>
  <c r="R265" i="1"/>
  <c r="M265" i="1"/>
  <c r="I265" i="1"/>
  <c r="AI264" i="1"/>
  <c r="AK264" i="1" s="1"/>
  <c r="AH264" i="1"/>
  <c r="V264" i="1"/>
  <c r="R264" i="1"/>
  <c r="M264" i="1"/>
  <c r="I264" i="1"/>
  <c r="AI263" i="1"/>
  <c r="AK263" i="1" s="1"/>
  <c r="AH263" i="1"/>
  <c r="V263" i="1"/>
  <c r="R263" i="1"/>
  <c r="M263" i="1"/>
  <c r="I263" i="1"/>
  <c r="AI262" i="1"/>
  <c r="AK262" i="1" s="1"/>
  <c r="AH262" i="1"/>
  <c r="V262" i="1"/>
  <c r="R262" i="1"/>
  <c r="M262" i="1"/>
  <c r="I262" i="1"/>
  <c r="AI261" i="1"/>
  <c r="AK261" i="1" s="1"/>
  <c r="AH261" i="1"/>
  <c r="V261" i="1"/>
  <c r="R261" i="1"/>
  <c r="M261" i="1"/>
  <c r="I261" i="1"/>
  <c r="AI260" i="1"/>
  <c r="AK260" i="1" s="1"/>
  <c r="AH260" i="1"/>
  <c r="V260" i="1"/>
  <c r="R260" i="1"/>
  <c r="M260" i="1"/>
  <c r="I260" i="1"/>
  <c r="AI259" i="1"/>
  <c r="AK259" i="1" s="1"/>
  <c r="AH259" i="1"/>
  <c r="V259" i="1"/>
  <c r="R259" i="1"/>
  <c r="M259" i="1"/>
  <c r="I259" i="1"/>
  <c r="AB291" i="1" l="1"/>
  <c r="AA274" i="1"/>
  <c r="AA275" i="1"/>
  <c r="AA284" i="1"/>
  <c r="AA285" i="1"/>
  <c r="AA286" i="1"/>
  <c r="AA287" i="1"/>
  <c r="AA288" i="1"/>
  <c r="AB293" i="1"/>
  <c r="AB303" i="1"/>
  <c r="AB292" i="1"/>
  <c r="AB294" i="1"/>
  <c r="AB301" i="1"/>
  <c r="AB302" i="1"/>
  <c r="AB296" i="1"/>
  <c r="Z262" i="1"/>
  <c r="Z274" i="1"/>
  <c r="AB274" i="1" s="1"/>
  <c r="AB295" i="1"/>
  <c r="AB298" i="1"/>
  <c r="AB297" i="1"/>
  <c r="AA261" i="1"/>
  <c r="AA271" i="1"/>
  <c r="Z272" i="1"/>
  <c r="AB304" i="1"/>
  <c r="AB300" i="1"/>
  <c r="AA273" i="1"/>
  <c r="AA281" i="1"/>
  <c r="AA283" i="1"/>
  <c r="Z259" i="1"/>
  <c r="Z261" i="1"/>
  <c r="Z264" i="1"/>
  <c r="Z266" i="1"/>
  <c r="Z267" i="1"/>
  <c r="Z269" i="1"/>
  <c r="Z271" i="1"/>
  <c r="AA262" i="1"/>
  <c r="AA263" i="1"/>
  <c r="AA264" i="1"/>
  <c r="AB264" i="1" s="1"/>
  <c r="AA265" i="1"/>
  <c r="AA266" i="1"/>
  <c r="AA269" i="1"/>
  <c r="AA270" i="1"/>
  <c r="Z273" i="1"/>
  <c r="Z277" i="1"/>
  <c r="Z279" i="1"/>
  <c r="Z281" i="1"/>
  <c r="Z283" i="1"/>
  <c r="Z284" i="1"/>
  <c r="AB284" i="1" s="1"/>
  <c r="Z285" i="1"/>
  <c r="Z287" i="1"/>
  <c r="AB287" i="1" s="1"/>
  <c r="Z288" i="1"/>
  <c r="AB288" i="1" s="1"/>
  <c r="Z276" i="1"/>
  <c r="Z280" i="1"/>
  <c r="AA267" i="1"/>
  <c r="AA268" i="1"/>
  <c r="Z270" i="1"/>
  <c r="AA276" i="1"/>
  <c r="AA277" i="1"/>
  <c r="AA278" i="1"/>
  <c r="AA279" i="1"/>
  <c r="AA280" i="1"/>
  <c r="AA282" i="1"/>
  <c r="Z286" i="1"/>
  <c r="Z268" i="1"/>
  <c r="Z282" i="1"/>
  <c r="Z278" i="1"/>
  <c r="Z260" i="1"/>
  <c r="Z263" i="1"/>
  <c r="AA272" i="1"/>
  <c r="AA260" i="1"/>
  <c r="Z265" i="1"/>
  <c r="Z275" i="1"/>
  <c r="AB275" i="1" s="1"/>
  <c r="AA259" i="1"/>
  <c r="AI258" i="1"/>
  <c r="AK258" i="1" s="1"/>
  <c r="AH258" i="1"/>
  <c r="V258" i="1"/>
  <c r="R258" i="1"/>
  <c r="M258" i="1"/>
  <c r="I258" i="1"/>
  <c r="AI257" i="1"/>
  <c r="AK257" i="1" s="1"/>
  <c r="AH257" i="1"/>
  <c r="V257" i="1"/>
  <c r="R257" i="1"/>
  <c r="M257" i="1"/>
  <c r="I257" i="1"/>
  <c r="AI256" i="1"/>
  <c r="AK256" i="1" s="1"/>
  <c r="AH256" i="1"/>
  <c r="V256" i="1"/>
  <c r="R256" i="1"/>
  <c r="M256" i="1"/>
  <c r="I256" i="1"/>
  <c r="AI255" i="1"/>
  <c r="AK255" i="1" s="1"/>
  <c r="AH255" i="1"/>
  <c r="V255" i="1"/>
  <c r="R255" i="1"/>
  <c r="M255" i="1"/>
  <c r="I255" i="1"/>
  <c r="AI254" i="1"/>
  <c r="AK254" i="1" s="1"/>
  <c r="AH254" i="1"/>
  <c r="V254" i="1"/>
  <c r="R254" i="1"/>
  <c r="M254" i="1"/>
  <c r="I254" i="1"/>
  <c r="AI253" i="1"/>
  <c r="AK253" i="1" s="1"/>
  <c r="AH253" i="1"/>
  <c r="V253" i="1"/>
  <c r="R253" i="1"/>
  <c r="M253" i="1"/>
  <c r="I253" i="1"/>
  <c r="AI252" i="1"/>
  <c r="AK252" i="1" s="1"/>
  <c r="AH252" i="1"/>
  <c r="V252" i="1"/>
  <c r="R252" i="1"/>
  <c r="M252" i="1"/>
  <c r="I252" i="1"/>
  <c r="AI251" i="1"/>
  <c r="AK251" i="1" s="1"/>
  <c r="AH251" i="1"/>
  <c r="V251" i="1"/>
  <c r="R251" i="1"/>
  <c r="M251" i="1"/>
  <c r="I251" i="1"/>
  <c r="AI250" i="1"/>
  <c r="AK250" i="1" s="1"/>
  <c r="AH250" i="1"/>
  <c r="V250" i="1"/>
  <c r="R250" i="1"/>
  <c r="M250" i="1"/>
  <c r="I250" i="1"/>
  <c r="AI249" i="1"/>
  <c r="AK249" i="1" s="1"/>
  <c r="AH249" i="1"/>
  <c r="V249" i="1"/>
  <c r="R249" i="1"/>
  <c r="M249" i="1"/>
  <c r="I249" i="1"/>
  <c r="AI248" i="1"/>
  <c r="AK248" i="1" s="1"/>
  <c r="AH248" i="1"/>
  <c r="V248" i="1"/>
  <c r="R248" i="1"/>
  <c r="M248" i="1"/>
  <c r="I248" i="1"/>
  <c r="AI247" i="1"/>
  <c r="AK247" i="1" s="1"/>
  <c r="AH247" i="1"/>
  <c r="V247" i="1"/>
  <c r="R247" i="1"/>
  <c r="M247" i="1"/>
  <c r="I247" i="1"/>
  <c r="AI246" i="1"/>
  <c r="AK246" i="1" s="1"/>
  <c r="AH246" i="1"/>
  <c r="V246" i="1"/>
  <c r="R246" i="1"/>
  <c r="M246" i="1"/>
  <c r="I246" i="1"/>
  <c r="AI245" i="1"/>
  <c r="AK245" i="1" s="1"/>
  <c r="AH245" i="1"/>
  <c r="V245" i="1"/>
  <c r="R245" i="1"/>
  <c r="M245" i="1"/>
  <c r="I245" i="1"/>
  <c r="AI244" i="1"/>
  <c r="AK244" i="1" s="1"/>
  <c r="AH244" i="1"/>
  <c r="V244" i="1"/>
  <c r="R244" i="1"/>
  <c r="M244" i="1"/>
  <c r="I244" i="1"/>
  <c r="AI243" i="1"/>
  <c r="AK243" i="1" s="1"/>
  <c r="AH243" i="1"/>
  <c r="V243" i="1"/>
  <c r="R243" i="1"/>
  <c r="M243" i="1"/>
  <c r="I243" i="1"/>
  <c r="AI242" i="1"/>
  <c r="AK242" i="1" s="1"/>
  <c r="AH242" i="1"/>
  <c r="V242" i="1"/>
  <c r="R242" i="1"/>
  <c r="M242" i="1"/>
  <c r="I242" i="1"/>
  <c r="AI241" i="1"/>
  <c r="AK241" i="1" s="1"/>
  <c r="AH241" i="1"/>
  <c r="V241" i="1"/>
  <c r="R241" i="1"/>
  <c r="M241" i="1"/>
  <c r="I241" i="1"/>
  <c r="AI240" i="1"/>
  <c r="AK240" i="1" s="1"/>
  <c r="AH240" i="1"/>
  <c r="V240" i="1"/>
  <c r="R240" i="1"/>
  <c r="M240" i="1"/>
  <c r="I240" i="1"/>
  <c r="AI239" i="1"/>
  <c r="AK239" i="1" s="1"/>
  <c r="AH239" i="1"/>
  <c r="V239" i="1"/>
  <c r="R239" i="1"/>
  <c r="M239" i="1"/>
  <c r="I239" i="1"/>
  <c r="AI238" i="1"/>
  <c r="AK238" i="1" s="1"/>
  <c r="AH238" i="1"/>
  <c r="V238" i="1"/>
  <c r="R238" i="1"/>
  <c r="M238" i="1"/>
  <c r="I238" i="1"/>
  <c r="AI237" i="1"/>
  <c r="AK237" i="1" s="1"/>
  <c r="AH237" i="1"/>
  <c r="V237" i="1"/>
  <c r="R237" i="1"/>
  <c r="M237" i="1"/>
  <c r="I237" i="1"/>
  <c r="AI236" i="1"/>
  <c r="AK236" i="1" s="1"/>
  <c r="AH236" i="1"/>
  <c r="V236" i="1"/>
  <c r="R236" i="1"/>
  <c r="M236" i="1"/>
  <c r="I236" i="1"/>
  <c r="AI235" i="1"/>
  <c r="AK235" i="1" s="1"/>
  <c r="AH235" i="1"/>
  <c r="V235" i="1"/>
  <c r="R235" i="1"/>
  <c r="M235" i="1"/>
  <c r="I235" i="1"/>
  <c r="AI234" i="1"/>
  <c r="AK234" i="1" s="1"/>
  <c r="AH234" i="1"/>
  <c r="V234" i="1"/>
  <c r="R234" i="1"/>
  <c r="M234" i="1"/>
  <c r="I234" i="1"/>
  <c r="AB286" i="1" l="1"/>
  <c r="AB285" i="1"/>
  <c r="AB262" i="1"/>
  <c r="AB283" i="1"/>
  <c r="AB269" i="1"/>
  <c r="AB271" i="1"/>
  <c r="AB265" i="1"/>
  <c r="AB261" i="1"/>
  <c r="AB272" i="1"/>
  <c r="AB259" i="1"/>
  <c r="AB280" i="1"/>
  <c r="AB273" i="1"/>
  <c r="AB279" i="1"/>
  <c r="AB267" i="1"/>
  <c r="AB260" i="1"/>
  <c r="AB277" i="1"/>
  <c r="AB266" i="1"/>
  <c r="AB263" i="1"/>
  <c r="AB282" i="1"/>
  <c r="AB270" i="1"/>
  <c r="AB281" i="1"/>
  <c r="AB276" i="1"/>
  <c r="AB268" i="1"/>
  <c r="AA235" i="1"/>
  <c r="AA239" i="1"/>
  <c r="AA245" i="1"/>
  <c r="AA247" i="1"/>
  <c r="AA251" i="1"/>
  <c r="AA253" i="1"/>
  <c r="AA257" i="1"/>
  <c r="AB278" i="1"/>
  <c r="Z246" i="1"/>
  <c r="Z247" i="1"/>
  <c r="Z248" i="1"/>
  <c r="Z249" i="1"/>
  <c r="Z250" i="1"/>
  <c r="Z251" i="1"/>
  <c r="Z253" i="1"/>
  <c r="Z256" i="1"/>
  <c r="Z257" i="1"/>
  <c r="AA243" i="1"/>
  <c r="Z236" i="1"/>
  <c r="Z237" i="1"/>
  <c r="Z238" i="1"/>
  <c r="Z239" i="1"/>
  <c r="Z242" i="1"/>
  <c r="Z243" i="1"/>
  <c r="AA256" i="1"/>
  <c r="AA236" i="1"/>
  <c r="AA240" i="1"/>
  <c r="Z234" i="1"/>
  <c r="Z235" i="1"/>
  <c r="AA248" i="1"/>
  <c r="AB248" i="1" s="1"/>
  <c r="AA252" i="1"/>
  <c r="AA255" i="1"/>
  <c r="AA238" i="1"/>
  <c r="AA241" i="1"/>
  <c r="Z244" i="1"/>
  <c r="Z245" i="1"/>
  <c r="AA250" i="1"/>
  <c r="Z254" i="1"/>
  <c r="Z255" i="1"/>
  <c r="AA258" i="1"/>
  <c r="AA242" i="1"/>
  <c r="AA244" i="1"/>
  <c r="AB244" i="1" s="1"/>
  <c r="AA254" i="1"/>
  <c r="AA234" i="1"/>
  <c r="AA237" i="1"/>
  <c r="Z240" i="1"/>
  <c r="Z241" i="1"/>
  <c r="AA246" i="1"/>
  <c r="AA249" i="1"/>
  <c r="AB249" i="1" s="1"/>
  <c r="Z252" i="1"/>
  <c r="Z258" i="1"/>
  <c r="V222" i="1"/>
  <c r="AI233" i="1"/>
  <c r="AK233" i="1" s="1"/>
  <c r="AH233" i="1"/>
  <c r="V233" i="1"/>
  <c r="R233" i="1"/>
  <c r="M233" i="1"/>
  <c r="I233" i="1"/>
  <c r="AI232" i="1"/>
  <c r="AK232" i="1" s="1"/>
  <c r="AH232" i="1"/>
  <c r="V232" i="1"/>
  <c r="R232" i="1"/>
  <c r="M232" i="1"/>
  <c r="I232" i="1"/>
  <c r="AI231" i="1"/>
  <c r="AK231" i="1" s="1"/>
  <c r="AH231" i="1"/>
  <c r="V231" i="1"/>
  <c r="R231" i="1"/>
  <c r="M231" i="1"/>
  <c r="I231" i="1"/>
  <c r="AI230" i="1"/>
  <c r="AK230" i="1" s="1"/>
  <c r="AH230" i="1"/>
  <c r="V230" i="1"/>
  <c r="R230" i="1"/>
  <c r="M230" i="1"/>
  <c r="I230" i="1"/>
  <c r="AI229" i="1"/>
  <c r="AK229" i="1" s="1"/>
  <c r="AH229" i="1"/>
  <c r="V229" i="1"/>
  <c r="R229" i="1"/>
  <c r="M229" i="1"/>
  <c r="I229" i="1"/>
  <c r="AI228" i="1"/>
  <c r="AK228" i="1" s="1"/>
  <c r="AH228" i="1"/>
  <c r="V228" i="1"/>
  <c r="R228" i="1"/>
  <c r="M228" i="1"/>
  <c r="I228" i="1"/>
  <c r="AI227" i="1"/>
  <c r="AK227" i="1" s="1"/>
  <c r="AH227" i="1"/>
  <c r="V227" i="1"/>
  <c r="R227" i="1"/>
  <c r="M227" i="1"/>
  <c r="I227" i="1"/>
  <c r="AI226" i="1"/>
  <c r="AK226" i="1" s="1"/>
  <c r="AH226" i="1"/>
  <c r="V226" i="1"/>
  <c r="R226" i="1"/>
  <c r="M226" i="1"/>
  <c r="I226" i="1"/>
  <c r="AI225" i="1"/>
  <c r="AK225" i="1" s="1"/>
  <c r="AH225" i="1"/>
  <c r="V225" i="1"/>
  <c r="R225" i="1"/>
  <c r="M225" i="1"/>
  <c r="I225" i="1"/>
  <c r="AI224" i="1"/>
  <c r="AK224" i="1" s="1"/>
  <c r="AH224" i="1"/>
  <c r="V224" i="1"/>
  <c r="R224" i="1"/>
  <c r="M224" i="1"/>
  <c r="I224" i="1"/>
  <c r="AI223" i="1"/>
  <c r="AK223" i="1" s="1"/>
  <c r="AH223" i="1"/>
  <c r="V223" i="1"/>
  <c r="R223" i="1"/>
  <c r="M223" i="1"/>
  <c r="I223" i="1"/>
  <c r="AI222" i="1"/>
  <c r="AK222" i="1" s="1"/>
  <c r="AH222" i="1"/>
  <c r="R222" i="1"/>
  <c r="M222" i="1"/>
  <c r="I222" i="1"/>
  <c r="AI221" i="1"/>
  <c r="AK221" i="1" s="1"/>
  <c r="AH221" i="1"/>
  <c r="V221" i="1"/>
  <c r="R221" i="1"/>
  <c r="M221" i="1"/>
  <c r="I221" i="1"/>
  <c r="AI220" i="1"/>
  <c r="AK220" i="1" s="1"/>
  <c r="AH220" i="1"/>
  <c r="V220" i="1"/>
  <c r="R220" i="1"/>
  <c r="M220" i="1"/>
  <c r="I220" i="1"/>
  <c r="AI219" i="1"/>
  <c r="AK219" i="1" s="1"/>
  <c r="AH219" i="1"/>
  <c r="V219" i="1"/>
  <c r="R219" i="1"/>
  <c r="M219" i="1"/>
  <c r="I219" i="1"/>
  <c r="AI218" i="1"/>
  <c r="AK218" i="1" s="1"/>
  <c r="AH218" i="1"/>
  <c r="V218" i="1"/>
  <c r="R218" i="1"/>
  <c r="M218" i="1"/>
  <c r="I218" i="1"/>
  <c r="AI217" i="1"/>
  <c r="AK217" i="1" s="1"/>
  <c r="AH217" i="1"/>
  <c r="V217" i="1"/>
  <c r="R217" i="1"/>
  <c r="M217" i="1"/>
  <c r="I217" i="1"/>
  <c r="AI216" i="1"/>
  <c r="AK216" i="1" s="1"/>
  <c r="AH216" i="1"/>
  <c r="V216" i="1"/>
  <c r="R216" i="1"/>
  <c r="M216" i="1"/>
  <c r="I216" i="1"/>
  <c r="AI215" i="1"/>
  <c r="AK215" i="1" s="1"/>
  <c r="AH215" i="1"/>
  <c r="V215" i="1"/>
  <c r="R215" i="1"/>
  <c r="M215" i="1"/>
  <c r="I215" i="1"/>
  <c r="AI214" i="1"/>
  <c r="AK214" i="1" s="1"/>
  <c r="AH214" i="1"/>
  <c r="V214" i="1"/>
  <c r="R214" i="1"/>
  <c r="M214" i="1"/>
  <c r="I214" i="1"/>
  <c r="AI213" i="1"/>
  <c r="AK213" i="1" s="1"/>
  <c r="AH213" i="1"/>
  <c r="V213" i="1"/>
  <c r="R213" i="1"/>
  <c r="M213" i="1"/>
  <c r="I213" i="1"/>
  <c r="AI212" i="1"/>
  <c r="AK212" i="1" s="1"/>
  <c r="AH212" i="1"/>
  <c r="V212" i="1"/>
  <c r="R212" i="1"/>
  <c r="M212" i="1"/>
  <c r="I212" i="1"/>
  <c r="AI211" i="1"/>
  <c r="AK211" i="1" s="1"/>
  <c r="AH211" i="1"/>
  <c r="V211" i="1"/>
  <c r="R211" i="1"/>
  <c r="M211" i="1"/>
  <c r="I211" i="1"/>
  <c r="AI210" i="1"/>
  <c r="AK210" i="1" s="1"/>
  <c r="AH210" i="1"/>
  <c r="V210" i="1"/>
  <c r="R210" i="1"/>
  <c r="M210" i="1"/>
  <c r="I210" i="1"/>
  <c r="AB253" i="1" l="1"/>
  <c r="AA226" i="1"/>
  <c r="AA227" i="1"/>
  <c r="AA232" i="1"/>
  <c r="AB252" i="1"/>
  <c r="AB251" i="1"/>
  <c r="AB235" i="1"/>
  <c r="Z223" i="1"/>
  <c r="Z232" i="1"/>
  <c r="AB247" i="1"/>
  <c r="AB246" i="1"/>
  <c r="AB245" i="1"/>
  <c r="Z224" i="1"/>
  <c r="Z233" i="1"/>
  <c r="AB243" i="1"/>
  <c r="AB239" i="1"/>
  <c r="AB257" i="1"/>
  <c r="AB250" i="1"/>
  <c r="AA220" i="1"/>
  <c r="AB242" i="1"/>
  <c r="AB256" i="1"/>
  <c r="Z210" i="1"/>
  <c r="Z212" i="1"/>
  <c r="Z219" i="1"/>
  <c r="Z221" i="1"/>
  <c r="AB258" i="1"/>
  <c r="AB237" i="1"/>
  <c r="AB238" i="1"/>
  <c r="AB234" i="1"/>
  <c r="AB236" i="1"/>
  <c r="AA230" i="1"/>
  <c r="AA224" i="1"/>
  <c r="AB224" i="1" s="1"/>
  <c r="AB254" i="1"/>
  <c r="Z215" i="1"/>
  <c r="Z217" i="1"/>
  <c r="Z225" i="1"/>
  <c r="AB240" i="1"/>
  <c r="AB241" i="1"/>
  <c r="AA228" i="1"/>
  <c r="AA210" i="1"/>
  <c r="AA211" i="1"/>
  <c r="AA212" i="1"/>
  <c r="AB212" i="1" s="1"/>
  <c r="AA214" i="1"/>
  <c r="AA216" i="1"/>
  <c r="AA217" i="1"/>
  <c r="AA218" i="1"/>
  <c r="AA223" i="1"/>
  <c r="AB223" i="1" s="1"/>
  <c r="Z229" i="1"/>
  <c r="AB255" i="1"/>
  <c r="Z211" i="1"/>
  <c r="Z214" i="1"/>
  <c r="Z216" i="1"/>
  <c r="AB216" i="1" s="1"/>
  <c r="AA229" i="1"/>
  <c r="Z231" i="1"/>
  <c r="AA233" i="1"/>
  <c r="Z226" i="1"/>
  <c r="AB226" i="1" s="1"/>
  <c r="Z227" i="1"/>
  <c r="AB227" i="1" s="1"/>
  <c r="AA222" i="1"/>
  <c r="AA225" i="1"/>
  <c r="Z228" i="1"/>
  <c r="AA215" i="1"/>
  <c r="AA231" i="1"/>
  <c r="Z218" i="1"/>
  <c r="AA221" i="1"/>
  <c r="AB221" i="1" s="1"/>
  <c r="Z222" i="1"/>
  <c r="Z213" i="1"/>
  <c r="AA213" i="1"/>
  <c r="AA219" i="1"/>
  <c r="Z220" i="1"/>
  <c r="Z230" i="1"/>
  <c r="AI209" i="1"/>
  <c r="AK209" i="1" s="1"/>
  <c r="AH209" i="1"/>
  <c r="V209" i="1"/>
  <c r="R209" i="1"/>
  <c r="M209" i="1"/>
  <c r="I209" i="1"/>
  <c r="AI208" i="1"/>
  <c r="AK208" i="1" s="1"/>
  <c r="AH208" i="1"/>
  <c r="V208" i="1"/>
  <c r="R208" i="1"/>
  <c r="M208" i="1"/>
  <c r="I208" i="1"/>
  <c r="AI207" i="1"/>
  <c r="AK207" i="1" s="1"/>
  <c r="AH207" i="1"/>
  <c r="V207" i="1"/>
  <c r="R207" i="1"/>
  <c r="M207" i="1"/>
  <c r="I207" i="1"/>
  <c r="AI206" i="1"/>
  <c r="AK206" i="1" s="1"/>
  <c r="AH206" i="1"/>
  <c r="V206" i="1"/>
  <c r="R206" i="1"/>
  <c r="M206" i="1"/>
  <c r="I206" i="1"/>
  <c r="AI205" i="1"/>
  <c r="AK205" i="1" s="1"/>
  <c r="AH205" i="1"/>
  <c r="V205" i="1"/>
  <c r="R205" i="1"/>
  <c r="M205" i="1"/>
  <c r="I205" i="1"/>
  <c r="AI204" i="1"/>
  <c r="AK204" i="1" s="1"/>
  <c r="AH204" i="1"/>
  <c r="V204" i="1"/>
  <c r="R204" i="1"/>
  <c r="M204" i="1"/>
  <c r="I204" i="1"/>
  <c r="AI203" i="1"/>
  <c r="AK203" i="1" s="1"/>
  <c r="AH203" i="1"/>
  <c r="V203" i="1"/>
  <c r="R203" i="1"/>
  <c r="M203" i="1"/>
  <c r="I203" i="1"/>
  <c r="AI202" i="1"/>
  <c r="AK202" i="1" s="1"/>
  <c r="AH202" i="1"/>
  <c r="V202" i="1"/>
  <c r="R202" i="1"/>
  <c r="M202" i="1"/>
  <c r="I202" i="1"/>
  <c r="AI201" i="1"/>
  <c r="AK201" i="1" s="1"/>
  <c r="AH201" i="1"/>
  <c r="V201" i="1"/>
  <c r="R201" i="1"/>
  <c r="M201" i="1"/>
  <c r="I201" i="1"/>
  <c r="AI200" i="1"/>
  <c r="AK200" i="1" s="1"/>
  <c r="AH200" i="1"/>
  <c r="V200" i="1"/>
  <c r="R200" i="1"/>
  <c r="M200" i="1"/>
  <c r="I200" i="1"/>
  <c r="AI199" i="1"/>
  <c r="AK199" i="1" s="1"/>
  <c r="AH199" i="1"/>
  <c r="V199" i="1"/>
  <c r="R199" i="1"/>
  <c r="M199" i="1"/>
  <c r="I199" i="1"/>
  <c r="AI198" i="1"/>
  <c r="AK198" i="1" s="1"/>
  <c r="AH198" i="1"/>
  <c r="V198" i="1"/>
  <c r="R198" i="1"/>
  <c r="M198" i="1"/>
  <c r="I198" i="1"/>
  <c r="AI197" i="1"/>
  <c r="AK197" i="1" s="1"/>
  <c r="AH197" i="1"/>
  <c r="V197" i="1"/>
  <c r="R197" i="1"/>
  <c r="M197" i="1"/>
  <c r="I197" i="1"/>
  <c r="AI196" i="1"/>
  <c r="AK196" i="1" s="1"/>
  <c r="AH196" i="1"/>
  <c r="V196" i="1"/>
  <c r="R196" i="1"/>
  <c r="M196" i="1"/>
  <c r="I196" i="1"/>
  <c r="AI195" i="1"/>
  <c r="AK195" i="1" s="1"/>
  <c r="AH195" i="1"/>
  <c r="V195" i="1"/>
  <c r="R195" i="1"/>
  <c r="M195" i="1"/>
  <c r="I195" i="1"/>
  <c r="AI194" i="1"/>
  <c r="AK194" i="1" s="1"/>
  <c r="AH194" i="1"/>
  <c r="V194" i="1"/>
  <c r="R194" i="1"/>
  <c r="M194" i="1"/>
  <c r="I194" i="1"/>
  <c r="AI193" i="1"/>
  <c r="AK193" i="1" s="1"/>
  <c r="AH193" i="1"/>
  <c r="V193" i="1"/>
  <c r="R193" i="1"/>
  <c r="M193" i="1"/>
  <c r="I193" i="1"/>
  <c r="AI192" i="1"/>
  <c r="AK192" i="1" s="1"/>
  <c r="AH192" i="1"/>
  <c r="V192" i="1"/>
  <c r="R192" i="1"/>
  <c r="M192" i="1"/>
  <c r="I192" i="1"/>
  <c r="AI191" i="1"/>
  <c r="AK191" i="1" s="1"/>
  <c r="AH191" i="1"/>
  <c r="V191" i="1"/>
  <c r="R191" i="1"/>
  <c r="M191" i="1"/>
  <c r="I191" i="1"/>
  <c r="AI190" i="1"/>
  <c r="AK190" i="1" s="1"/>
  <c r="AH190" i="1"/>
  <c r="V190" i="1"/>
  <c r="R190" i="1"/>
  <c r="M190" i="1"/>
  <c r="I190" i="1"/>
  <c r="AI189" i="1"/>
  <c r="AK189" i="1" s="1"/>
  <c r="AH189" i="1"/>
  <c r="V189" i="1"/>
  <c r="R189" i="1"/>
  <c r="M189" i="1"/>
  <c r="I189" i="1"/>
  <c r="AI188" i="1"/>
  <c r="AK188" i="1" s="1"/>
  <c r="AH188" i="1"/>
  <c r="V188" i="1"/>
  <c r="R188" i="1"/>
  <c r="M188" i="1"/>
  <c r="I188" i="1"/>
  <c r="AI187" i="1"/>
  <c r="AK187" i="1" s="1"/>
  <c r="AH187" i="1"/>
  <c r="V187" i="1"/>
  <c r="R187" i="1"/>
  <c r="M187" i="1"/>
  <c r="I187" i="1"/>
  <c r="AI186" i="1"/>
  <c r="AK186" i="1" s="1"/>
  <c r="AH186" i="1"/>
  <c r="V186" i="1"/>
  <c r="R186" i="1"/>
  <c r="M186" i="1"/>
  <c r="I186" i="1"/>
  <c r="AI185" i="1"/>
  <c r="AK185" i="1" s="1"/>
  <c r="AH185" i="1"/>
  <c r="V185" i="1"/>
  <c r="R185" i="1"/>
  <c r="M185" i="1"/>
  <c r="I185" i="1"/>
  <c r="AB217" i="1" l="1"/>
  <c r="AB232" i="1"/>
  <c r="AB233" i="1"/>
  <c r="Z191" i="1"/>
  <c r="Z185" i="1"/>
  <c r="Z186" i="1"/>
  <c r="Z189" i="1"/>
  <c r="AB222" i="1"/>
  <c r="AB215" i="1"/>
  <c r="AB228" i="1"/>
  <c r="AB210" i="1"/>
  <c r="AB214" i="1"/>
  <c r="AB220" i="1"/>
  <c r="AB218" i="1"/>
  <c r="AA206" i="1"/>
  <c r="AA208" i="1"/>
  <c r="AB219" i="1"/>
  <c r="AB211" i="1"/>
  <c r="AB230" i="1"/>
  <c r="AB225" i="1"/>
  <c r="AB229" i="1"/>
  <c r="Z192" i="1"/>
  <c r="Z193" i="1"/>
  <c r="Z196" i="1"/>
  <c r="Z197" i="1"/>
  <c r="Z198" i="1"/>
  <c r="Z199" i="1"/>
  <c r="Z200" i="1"/>
  <c r="Z201" i="1"/>
  <c r="Z204" i="1"/>
  <c r="Z205" i="1"/>
  <c r="Z208" i="1"/>
  <c r="Z209" i="1"/>
  <c r="AB231" i="1"/>
  <c r="AA194" i="1"/>
  <c r="AA196" i="1"/>
  <c r="AA198" i="1"/>
  <c r="AA200" i="1"/>
  <c r="Z203" i="1"/>
  <c r="Z187" i="1"/>
  <c r="Z188" i="1"/>
  <c r="AA203" i="1"/>
  <c r="AA204" i="1"/>
  <c r="Z207" i="1"/>
  <c r="AA189" i="1"/>
  <c r="AA191" i="1"/>
  <c r="AB191" i="1" s="1"/>
  <c r="AA192" i="1"/>
  <c r="Z195" i="1"/>
  <c r="Z202" i="1"/>
  <c r="AB213" i="1"/>
  <c r="AA205" i="1"/>
  <c r="AA195" i="1"/>
  <c r="AA185" i="1"/>
  <c r="AA186" i="1"/>
  <c r="Z190" i="1"/>
  <c r="AA197" i="1"/>
  <c r="AA209" i="1"/>
  <c r="AA188" i="1"/>
  <c r="AA199" i="1"/>
  <c r="AA207" i="1"/>
  <c r="AA190" i="1"/>
  <c r="AB190" i="1" s="1"/>
  <c r="Z194" i="1"/>
  <c r="AA201" i="1"/>
  <c r="AA202" i="1"/>
  <c r="Z206" i="1"/>
  <c r="AA193" i="1"/>
  <c r="AA187" i="1"/>
  <c r="AI184" i="1"/>
  <c r="AK184" i="1" s="1"/>
  <c r="AH184" i="1"/>
  <c r="V184" i="1"/>
  <c r="R184" i="1"/>
  <c r="M184" i="1"/>
  <c r="I184" i="1"/>
  <c r="AI183" i="1"/>
  <c r="AK183" i="1" s="1"/>
  <c r="AH183" i="1"/>
  <c r="V183" i="1"/>
  <c r="R183" i="1"/>
  <c r="M183" i="1"/>
  <c r="I183" i="1"/>
  <c r="AI182" i="1"/>
  <c r="AK182" i="1" s="1"/>
  <c r="AH182" i="1"/>
  <c r="V182" i="1"/>
  <c r="R182" i="1"/>
  <c r="M182" i="1"/>
  <c r="I182" i="1"/>
  <c r="AI181" i="1"/>
  <c r="AK181" i="1" s="1"/>
  <c r="AH181" i="1"/>
  <c r="V181" i="1"/>
  <c r="R181" i="1"/>
  <c r="M181" i="1"/>
  <c r="I181" i="1"/>
  <c r="AI180" i="1"/>
  <c r="AK180" i="1" s="1"/>
  <c r="AH180" i="1"/>
  <c r="V180" i="1"/>
  <c r="R180" i="1"/>
  <c r="M180" i="1"/>
  <c r="I180" i="1"/>
  <c r="AI179" i="1"/>
  <c r="AK179" i="1" s="1"/>
  <c r="AH179" i="1"/>
  <c r="V179" i="1"/>
  <c r="R179" i="1"/>
  <c r="M179" i="1"/>
  <c r="I179" i="1"/>
  <c r="AI178" i="1"/>
  <c r="AK178" i="1" s="1"/>
  <c r="AH178" i="1"/>
  <c r="V178" i="1"/>
  <c r="R178" i="1"/>
  <c r="M178" i="1"/>
  <c r="I178" i="1"/>
  <c r="AI177" i="1"/>
  <c r="AK177" i="1" s="1"/>
  <c r="AH177" i="1"/>
  <c r="V177" i="1"/>
  <c r="R177" i="1"/>
  <c r="M177" i="1"/>
  <c r="I177" i="1"/>
  <c r="AI176" i="1"/>
  <c r="AK176" i="1" s="1"/>
  <c r="AH176" i="1"/>
  <c r="V176" i="1"/>
  <c r="R176" i="1"/>
  <c r="M176" i="1"/>
  <c r="I176" i="1"/>
  <c r="AI175" i="1"/>
  <c r="AK175" i="1" s="1"/>
  <c r="AH175" i="1"/>
  <c r="V175" i="1"/>
  <c r="R175" i="1"/>
  <c r="M175" i="1"/>
  <c r="I175" i="1"/>
  <c r="AI174" i="1"/>
  <c r="AK174" i="1" s="1"/>
  <c r="AH174" i="1"/>
  <c r="V174" i="1"/>
  <c r="R174" i="1"/>
  <c r="M174" i="1"/>
  <c r="I174" i="1"/>
  <c r="AI173" i="1"/>
  <c r="AK173" i="1" s="1"/>
  <c r="AH173" i="1"/>
  <c r="V173" i="1"/>
  <c r="R173" i="1"/>
  <c r="M173" i="1"/>
  <c r="I173" i="1"/>
  <c r="AI172" i="1"/>
  <c r="AK172" i="1" s="1"/>
  <c r="AH172" i="1"/>
  <c r="V172" i="1"/>
  <c r="R172" i="1"/>
  <c r="M172" i="1"/>
  <c r="I172" i="1"/>
  <c r="AI171" i="1"/>
  <c r="AK171" i="1" s="1"/>
  <c r="AH171" i="1"/>
  <c r="V171" i="1"/>
  <c r="R171" i="1"/>
  <c r="M171" i="1"/>
  <c r="I171" i="1"/>
  <c r="AI170" i="1"/>
  <c r="AK170" i="1" s="1"/>
  <c r="AH170" i="1"/>
  <c r="V170" i="1"/>
  <c r="R170" i="1"/>
  <c r="M170" i="1"/>
  <c r="I170" i="1"/>
  <c r="AI169" i="1"/>
  <c r="AK169" i="1" s="1"/>
  <c r="AH169" i="1"/>
  <c r="V169" i="1"/>
  <c r="R169" i="1"/>
  <c r="M169" i="1"/>
  <c r="I169" i="1"/>
  <c r="AI168" i="1"/>
  <c r="AK168" i="1" s="1"/>
  <c r="AH168" i="1"/>
  <c r="V168" i="1"/>
  <c r="R168" i="1"/>
  <c r="M168" i="1"/>
  <c r="I168" i="1"/>
  <c r="AI167" i="1"/>
  <c r="AK167" i="1" s="1"/>
  <c r="AH167" i="1"/>
  <c r="V167" i="1"/>
  <c r="R167" i="1"/>
  <c r="M167" i="1"/>
  <c r="I167" i="1"/>
  <c r="AI166" i="1"/>
  <c r="AK166" i="1" s="1"/>
  <c r="AH166" i="1"/>
  <c r="V166" i="1"/>
  <c r="R166" i="1"/>
  <c r="M166" i="1"/>
  <c r="I166" i="1"/>
  <c r="AI165" i="1"/>
  <c r="AK165" i="1" s="1"/>
  <c r="AH165" i="1"/>
  <c r="V165" i="1"/>
  <c r="R165" i="1"/>
  <c r="M165" i="1"/>
  <c r="I165" i="1"/>
  <c r="AB186" i="1" l="1"/>
  <c r="AB185" i="1"/>
  <c r="Z165" i="1"/>
  <c r="Z166" i="1"/>
  <c r="Z168" i="1"/>
  <c r="AB189" i="1"/>
  <c r="AB209" i="1"/>
  <c r="AB188" i="1"/>
  <c r="AB208" i="1"/>
  <c r="Z180" i="1"/>
  <c r="AB207" i="1"/>
  <c r="AB198" i="1"/>
  <c r="AB206" i="1"/>
  <c r="AB199" i="1"/>
  <c r="AB192" i="1"/>
  <c r="AB196" i="1"/>
  <c r="AA165" i="1"/>
  <c r="AB165" i="1" s="1"/>
  <c r="AB193" i="1"/>
  <c r="AB204" i="1"/>
  <c r="AB201" i="1"/>
  <c r="AB194" i="1"/>
  <c r="AB197" i="1"/>
  <c r="AB195" i="1"/>
  <c r="AB205" i="1"/>
  <c r="AB187" i="1"/>
  <c r="AB200" i="1"/>
  <c r="AA171" i="1"/>
  <c r="AA177" i="1"/>
  <c r="Z184" i="1"/>
  <c r="AB203" i="1"/>
  <c r="Z171" i="1"/>
  <c r="Z172" i="1"/>
  <c r="Z173" i="1"/>
  <c r="Z174" i="1"/>
  <c r="Z177" i="1"/>
  <c r="Z178" i="1"/>
  <c r="Z179" i="1"/>
  <c r="AA183" i="1"/>
  <c r="AB202" i="1"/>
  <c r="Z170" i="1"/>
  <c r="AA169" i="1"/>
  <c r="Z181" i="1"/>
  <c r="Z182" i="1"/>
  <c r="Z183" i="1"/>
  <c r="AA184" i="1"/>
  <c r="Z176" i="1"/>
  <c r="AA168" i="1"/>
  <c r="AB168" i="1" s="1"/>
  <c r="AA174" i="1"/>
  <c r="Z167" i="1"/>
  <c r="AA181" i="1"/>
  <c r="AA180" i="1"/>
  <c r="AA170" i="1"/>
  <c r="AA176" i="1"/>
  <c r="AA166" i="1"/>
  <c r="AB166" i="1" s="1"/>
  <c r="AA172" i="1"/>
  <c r="AA178" i="1"/>
  <c r="AA182" i="1"/>
  <c r="AA167" i="1"/>
  <c r="Z169" i="1"/>
  <c r="AA173" i="1"/>
  <c r="Z175" i="1"/>
  <c r="AA179" i="1"/>
  <c r="AA175" i="1"/>
  <c r="AI164" i="1"/>
  <c r="AK164" i="1" s="1"/>
  <c r="AH164" i="1"/>
  <c r="V164" i="1"/>
  <c r="R164" i="1"/>
  <c r="M164" i="1"/>
  <c r="I164" i="1"/>
  <c r="AI163" i="1"/>
  <c r="AK163" i="1" s="1"/>
  <c r="AH163" i="1"/>
  <c r="V163" i="1"/>
  <c r="R163" i="1"/>
  <c r="M163" i="1"/>
  <c r="I163" i="1"/>
  <c r="AI162" i="1"/>
  <c r="AK162" i="1" s="1"/>
  <c r="AH162" i="1"/>
  <c r="V162" i="1"/>
  <c r="R162" i="1"/>
  <c r="M162" i="1"/>
  <c r="I162" i="1"/>
  <c r="AI161" i="1"/>
  <c r="AK161" i="1" s="1"/>
  <c r="AH161" i="1"/>
  <c r="V161" i="1"/>
  <c r="R161" i="1"/>
  <c r="M161" i="1"/>
  <c r="I161" i="1"/>
  <c r="AI160" i="1"/>
  <c r="AK160" i="1" s="1"/>
  <c r="AH160" i="1"/>
  <c r="V160" i="1"/>
  <c r="R160" i="1"/>
  <c r="M160" i="1"/>
  <c r="I160" i="1"/>
  <c r="AI159" i="1"/>
  <c r="AK159" i="1" s="1"/>
  <c r="AH159" i="1"/>
  <c r="V159" i="1"/>
  <c r="R159" i="1"/>
  <c r="M159" i="1"/>
  <c r="I159" i="1"/>
  <c r="AI158" i="1"/>
  <c r="AK158" i="1" s="1"/>
  <c r="AH158" i="1"/>
  <c r="V158" i="1"/>
  <c r="R158" i="1"/>
  <c r="M158" i="1"/>
  <c r="I158" i="1"/>
  <c r="AI157" i="1"/>
  <c r="AK157" i="1" s="1"/>
  <c r="AH157" i="1"/>
  <c r="V157" i="1"/>
  <c r="R157" i="1"/>
  <c r="M157" i="1"/>
  <c r="I157" i="1"/>
  <c r="AI156" i="1"/>
  <c r="AK156" i="1" s="1"/>
  <c r="AH156" i="1"/>
  <c r="V156" i="1"/>
  <c r="R156" i="1"/>
  <c r="M156" i="1"/>
  <c r="I156" i="1"/>
  <c r="AI155" i="1"/>
  <c r="AK155" i="1" s="1"/>
  <c r="AH155" i="1"/>
  <c r="V155" i="1"/>
  <c r="R155" i="1"/>
  <c r="M155" i="1"/>
  <c r="I155" i="1"/>
  <c r="AI154" i="1"/>
  <c r="AK154" i="1" s="1"/>
  <c r="AH154" i="1"/>
  <c r="V154" i="1"/>
  <c r="R154" i="1"/>
  <c r="M154" i="1"/>
  <c r="I154" i="1"/>
  <c r="AI153" i="1"/>
  <c r="AK153" i="1" s="1"/>
  <c r="AH153" i="1"/>
  <c r="V153" i="1"/>
  <c r="R153" i="1"/>
  <c r="M153" i="1"/>
  <c r="I153" i="1"/>
  <c r="AI152" i="1"/>
  <c r="AK152" i="1" s="1"/>
  <c r="AH152" i="1"/>
  <c r="V152" i="1"/>
  <c r="R152" i="1"/>
  <c r="M152" i="1"/>
  <c r="I152" i="1"/>
  <c r="AI151" i="1"/>
  <c r="AK151" i="1" s="1"/>
  <c r="AH151" i="1"/>
  <c r="V151" i="1"/>
  <c r="R151" i="1"/>
  <c r="M151" i="1"/>
  <c r="I151" i="1"/>
  <c r="AI150" i="1"/>
  <c r="AK150" i="1" s="1"/>
  <c r="AH150" i="1"/>
  <c r="V150" i="1"/>
  <c r="R150" i="1"/>
  <c r="M150" i="1"/>
  <c r="I150" i="1"/>
  <c r="AI149" i="1"/>
  <c r="AK149" i="1" s="1"/>
  <c r="AH149" i="1"/>
  <c r="V149" i="1"/>
  <c r="R149" i="1"/>
  <c r="M149" i="1"/>
  <c r="I149" i="1"/>
  <c r="AI148" i="1"/>
  <c r="AK148" i="1" s="1"/>
  <c r="AH148" i="1"/>
  <c r="V148" i="1"/>
  <c r="R148" i="1"/>
  <c r="M148" i="1"/>
  <c r="I148" i="1"/>
  <c r="AI147" i="1"/>
  <c r="AK147" i="1" s="1"/>
  <c r="AH147" i="1"/>
  <c r="V147" i="1"/>
  <c r="R147" i="1"/>
  <c r="M147" i="1"/>
  <c r="I147" i="1"/>
  <c r="AI146" i="1"/>
  <c r="AK146" i="1" s="1"/>
  <c r="AH146" i="1"/>
  <c r="V146" i="1"/>
  <c r="R146" i="1"/>
  <c r="M146" i="1"/>
  <c r="I146" i="1"/>
  <c r="AI145" i="1"/>
  <c r="AK145" i="1" s="1"/>
  <c r="AH145" i="1"/>
  <c r="V145" i="1"/>
  <c r="R145" i="1"/>
  <c r="M145" i="1"/>
  <c r="I145" i="1"/>
  <c r="AI144" i="1"/>
  <c r="AK144" i="1" s="1"/>
  <c r="AH144" i="1"/>
  <c r="V144" i="1"/>
  <c r="R144" i="1"/>
  <c r="M144" i="1"/>
  <c r="I144" i="1"/>
  <c r="AI143" i="1"/>
  <c r="AK143" i="1" s="1"/>
  <c r="AH143" i="1"/>
  <c r="V143" i="1"/>
  <c r="R143" i="1"/>
  <c r="M143" i="1"/>
  <c r="I143" i="1"/>
  <c r="AI142" i="1"/>
  <c r="AK142" i="1" s="1"/>
  <c r="AH142" i="1"/>
  <c r="V142" i="1"/>
  <c r="R142" i="1"/>
  <c r="M142" i="1"/>
  <c r="I142" i="1"/>
  <c r="AI141" i="1"/>
  <c r="AK141" i="1" s="1"/>
  <c r="AH141" i="1"/>
  <c r="V141" i="1"/>
  <c r="R141" i="1"/>
  <c r="M141" i="1"/>
  <c r="I141" i="1"/>
  <c r="AI140" i="1"/>
  <c r="AK140" i="1" s="1"/>
  <c r="AH140" i="1"/>
  <c r="V140" i="1"/>
  <c r="R140" i="1"/>
  <c r="M140" i="1"/>
  <c r="I140" i="1"/>
  <c r="AB174" i="1" l="1"/>
  <c r="AB180" i="1"/>
  <c r="AB173" i="1"/>
  <c r="AB171" i="1"/>
  <c r="AB169" i="1"/>
  <c r="AB177" i="1"/>
  <c r="Z160" i="1"/>
  <c r="Z161" i="1"/>
  <c r="Z162" i="1"/>
  <c r="AB182" i="1"/>
  <c r="AB179" i="1"/>
  <c r="AB178" i="1"/>
  <c r="AB184" i="1"/>
  <c r="AA160" i="1"/>
  <c r="AA161" i="1"/>
  <c r="AB183" i="1"/>
  <c r="AA162" i="1"/>
  <c r="AA163" i="1"/>
  <c r="AA164" i="1"/>
  <c r="AB172" i="1"/>
  <c r="AB181" i="1"/>
  <c r="AB176" i="1"/>
  <c r="AB175" i="1"/>
  <c r="AB170" i="1"/>
  <c r="AA150" i="1"/>
  <c r="AA151" i="1"/>
  <c r="AA152" i="1"/>
  <c r="AB167" i="1"/>
  <c r="Z147" i="1"/>
  <c r="Z158" i="1"/>
  <c r="AA156" i="1"/>
  <c r="Z164" i="1"/>
  <c r="Z140" i="1"/>
  <c r="Z141" i="1"/>
  <c r="Z142" i="1"/>
  <c r="Z143" i="1"/>
  <c r="Z144" i="1"/>
  <c r="Z145" i="1"/>
  <c r="Z146" i="1"/>
  <c r="AA140" i="1"/>
  <c r="AA141" i="1"/>
  <c r="AA145" i="1"/>
  <c r="AA146" i="1"/>
  <c r="AA147" i="1"/>
  <c r="Z152" i="1"/>
  <c r="Z153" i="1"/>
  <c r="Z154" i="1"/>
  <c r="Z155" i="1"/>
  <c r="Z156" i="1"/>
  <c r="Z157" i="1"/>
  <c r="AB152" i="1"/>
  <c r="AA144" i="1"/>
  <c r="Z149" i="1"/>
  <c r="AA153" i="1"/>
  <c r="Z150" i="1"/>
  <c r="AB150" i="1" s="1"/>
  <c r="AA159" i="1"/>
  <c r="AA148" i="1"/>
  <c r="AA149" i="1"/>
  <c r="AB162" i="1"/>
  <c r="AA142" i="1"/>
  <c r="AB142" i="1" s="1"/>
  <c r="AA143" i="1"/>
  <c r="Z151" i="1"/>
  <c r="AB151" i="1" s="1"/>
  <c r="AA157" i="1"/>
  <c r="AA158" i="1"/>
  <c r="Z159" i="1"/>
  <c r="Z163" i="1"/>
  <c r="AB163" i="1" s="1"/>
  <c r="Z148" i="1"/>
  <c r="AA154" i="1"/>
  <c r="AA155" i="1"/>
  <c r="AB154" i="1" l="1"/>
  <c r="AB159" i="1"/>
  <c r="AB147" i="1"/>
  <c r="AB164" i="1"/>
  <c r="AB160" i="1"/>
  <c r="AB158" i="1"/>
  <c r="AB149" i="1"/>
  <c r="AB146" i="1"/>
  <c r="AB161" i="1"/>
  <c r="AB153" i="1"/>
  <c r="AB141" i="1"/>
  <c r="AB156" i="1"/>
  <c r="AB157" i="1"/>
  <c r="AB145" i="1"/>
  <c r="AB144" i="1"/>
  <c r="AB140" i="1"/>
  <c r="AB143" i="1"/>
  <c r="AB155" i="1"/>
  <c r="AB148" i="1"/>
  <c r="AI135" i="1"/>
  <c r="AK135" i="1" s="1"/>
  <c r="AH135" i="1"/>
  <c r="V135" i="1"/>
  <c r="R135" i="1"/>
  <c r="M135" i="1"/>
  <c r="I135" i="1"/>
  <c r="AI71" i="1"/>
  <c r="AK71" i="1" s="1"/>
  <c r="AH71" i="1"/>
  <c r="V71" i="1"/>
  <c r="R71" i="1"/>
  <c r="M71" i="1"/>
  <c r="I71" i="1"/>
  <c r="AI115" i="1"/>
  <c r="AK115" i="1" s="1"/>
  <c r="AH115" i="1"/>
  <c r="V115" i="1"/>
  <c r="R115" i="1"/>
  <c r="M115" i="1"/>
  <c r="I115" i="1"/>
  <c r="AA71" i="1" l="1"/>
  <c r="AA135" i="1"/>
  <c r="Z115" i="1"/>
  <c r="Z71" i="1"/>
  <c r="AB71" i="1" s="1"/>
  <c r="Z135" i="1"/>
  <c r="AA115" i="1"/>
  <c r="AI139" i="1"/>
  <c r="AK139" i="1" s="1"/>
  <c r="AH139" i="1"/>
  <c r="V139" i="1"/>
  <c r="R139" i="1"/>
  <c r="M139" i="1"/>
  <c r="I139" i="1"/>
  <c r="AI137" i="1"/>
  <c r="AK137" i="1" s="1"/>
  <c r="AH137" i="1"/>
  <c r="V137" i="1"/>
  <c r="R137" i="1"/>
  <c r="AA137" i="1" s="1"/>
  <c r="M137" i="1"/>
  <c r="I137" i="1"/>
  <c r="AI138" i="1"/>
  <c r="AK138" i="1" s="1"/>
  <c r="AH138" i="1"/>
  <c r="V138" i="1"/>
  <c r="R138" i="1"/>
  <c r="M138" i="1"/>
  <c r="I138" i="1"/>
  <c r="AI136" i="1"/>
  <c r="AK136" i="1" s="1"/>
  <c r="AH136" i="1"/>
  <c r="V136" i="1"/>
  <c r="R136" i="1"/>
  <c r="AA136" i="1" s="1"/>
  <c r="M136" i="1"/>
  <c r="I136" i="1"/>
  <c r="AI134" i="1"/>
  <c r="AK134" i="1" s="1"/>
  <c r="AH134" i="1"/>
  <c r="V134" i="1"/>
  <c r="R134" i="1"/>
  <c r="M134" i="1"/>
  <c r="I134" i="1"/>
  <c r="AI133" i="1"/>
  <c r="AK133" i="1" s="1"/>
  <c r="AH133" i="1"/>
  <c r="V133" i="1"/>
  <c r="R133" i="1"/>
  <c r="M133" i="1"/>
  <c r="I133" i="1"/>
  <c r="AI132" i="1"/>
  <c r="AK132" i="1" s="1"/>
  <c r="AH132" i="1"/>
  <c r="V132" i="1"/>
  <c r="R132" i="1"/>
  <c r="AA132" i="1" s="1"/>
  <c r="M132" i="1"/>
  <c r="I132" i="1"/>
  <c r="AI131" i="1"/>
  <c r="AK131" i="1" s="1"/>
  <c r="AH131" i="1"/>
  <c r="V131" i="1"/>
  <c r="R131" i="1"/>
  <c r="M131" i="1"/>
  <c r="I131" i="1"/>
  <c r="AI130" i="1"/>
  <c r="AK130" i="1" s="1"/>
  <c r="AH130" i="1"/>
  <c r="V130" i="1"/>
  <c r="R130" i="1"/>
  <c r="M130" i="1"/>
  <c r="I130" i="1"/>
  <c r="AI129" i="1"/>
  <c r="AK129" i="1" s="1"/>
  <c r="AH129" i="1"/>
  <c r="V129" i="1"/>
  <c r="R129" i="1"/>
  <c r="M129" i="1"/>
  <c r="I129" i="1"/>
  <c r="AI128" i="1"/>
  <c r="AK128" i="1" s="1"/>
  <c r="AH128" i="1"/>
  <c r="V128" i="1"/>
  <c r="R128" i="1"/>
  <c r="M128" i="1"/>
  <c r="I128" i="1"/>
  <c r="AI126" i="1"/>
  <c r="AK126" i="1" s="1"/>
  <c r="AH126" i="1"/>
  <c r="V126" i="1"/>
  <c r="R126" i="1"/>
  <c r="M126" i="1"/>
  <c r="I126" i="1"/>
  <c r="AI127" i="1"/>
  <c r="AK127" i="1" s="1"/>
  <c r="AH127" i="1"/>
  <c r="V127" i="1"/>
  <c r="R127" i="1"/>
  <c r="M127" i="1"/>
  <c r="I127" i="1"/>
  <c r="AI123" i="1"/>
  <c r="AK123" i="1" s="1"/>
  <c r="AH123" i="1"/>
  <c r="V123" i="1"/>
  <c r="R123" i="1"/>
  <c r="M123" i="1"/>
  <c r="I123" i="1"/>
  <c r="AI125" i="1"/>
  <c r="AK125" i="1" s="1"/>
  <c r="AH125" i="1"/>
  <c r="V125" i="1"/>
  <c r="R125" i="1"/>
  <c r="M125" i="1"/>
  <c r="I125" i="1"/>
  <c r="AI124" i="1"/>
  <c r="AK124" i="1" s="1"/>
  <c r="AH124" i="1"/>
  <c r="V124" i="1"/>
  <c r="R124" i="1"/>
  <c r="M124" i="1"/>
  <c r="I124" i="1"/>
  <c r="AI121" i="1"/>
  <c r="AK121" i="1" s="1"/>
  <c r="AH121" i="1"/>
  <c r="V121" i="1"/>
  <c r="R121" i="1"/>
  <c r="M121" i="1"/>
  <c r="I121" i="1"/>
  <c r="AI122" i="1"/>
  <c r="AK122" i="1" s="1"/>
  <c r="AH122" i="1"/>
  <c r="V122" i="1"/>
  <c r="R122" i="1"/>
  <c r="M122" i="1"/>
  <c r="I122" i="1"/>
  <c r="AI120" i="1"/>
  <c r="AK120" i="1" s="1"/>
  <c r="AH120" i="1"/>
  <c r="V120" i="1"/>
  <c r="R120" i="1"/>
  <c r="M120" i="1"/>
  <c r="I120" i="1"/>
  <c r="AI119" i="1"/>
  <c r="AK119" i="1" s="1"/>
  <c r="AH119" i="1"/>
  <c r="V119" i="1"/>
  <c r="R119" i="1"/>
  <c r="M119" i="1"/>
  <c r="I119" i="1"/>
  <c r="AI118" i="1"/>
  <c r="AK118" i="1" s="1"/>
  <c r="AH118" i="1"/>
  <c r="V118" i="1"/>
  <c r="R118" i="1"/>
  <c r="M118" i="1"/>
  <c r="I118" i="1"/>
  <c r="AI117" i="1"/>
  <c r="AK117" i="1" s="1"/>
  <c r="AH117" i="1"/>
  <c r="V117" i="1"/>
  <c r="R117" i="1"/>
  <c r="M117" i="1"/>
  <c r="I117" i="1"/>
  <c r="AI114" i="1"/>
  <c r="AK114" i="1" s="1"/>
  <c r="AH114" i="1"/>
  <c r="V114" i="1"/>
  <c r="R114" i="1"/>
  <c r="M114" i="1"/>
  <c r="I114" i="1"/>
  <c r="AI116" i="1"/>
  <c r="AK116" i="1" s="1"/>
  <c r="AH116" i="1"/>
  <c r="V116" i="1"/>
  <c r="R116" i="1"/>
  <c r="M116" i="1"/>
  <c r="I116" i="1"/>
  <c r="Z116" i="1" l="1"/>
  <c r="Z114" i="1"/>
  <c r="AB135" i="1"/>
  <c r="AB115" i="1"/>
  <c r="Z117" i="1"/>
  <c r="Z118" i="1"/>
  <c r="Z119" i="1"/>
  <c r="Z124" i="1"/>
  <c r="Z125" i="1"/>
  <c r="Z126" i="1"/>
  <c r="Z128" i="1"/>
  <c r="AA127" i="1"/>
  <c r="AA128" i="1"/>
  <c r="AA114" i="1"/>
  <c r="AB114" i="1" s="1"/>
  <c r="AA122" i="1"/>
  <c r="AA117" i="1"/>
  <c r="Z139" i="1"/>
  <c r="AA129" i="1"/>
  <c r="AA133" i="1"/>
  <c r="AA120" i="1"/>
  <c r="AA125" i="1"/>
  <c r="AB125" i="1" s="1"/>
  <c r="Z129" i="1"/>
  <c r="Z130" i="1"/>
  <c r="Z131" i="1"/>
  <c r="Z132" i="1"/>
  <c r="AB132" i="1" s="1"/>
  <c r="Z136" i="1"/>
  <c r="AB136" i="1" s="1"/>
  <c r="AA124" i="1"/>
  <c r="Z120" i="1"/>
  <c r="AA123" i="1"/>
  <c r="AA138" i="1"/>
  <c r="AA116" i="1"/>
  <c r="AB116" i="1" s="1"/>
  <c r="AA118" i="1"/>
  <c r="Z122" i="1"/>
  <c r="Z121" i="1"/>
  <c r="AA126" i="1"/>
  <c r="AA130" i="1"/>
  <c r="Z133" i="1"/>
  <c r="Z134" i="1"/>
  <c r="AA139" i="1"/>
  <c r="AA119" i="1"/>
  <c r="AA121" i="1"/>
  <c r="Z123" i="1"/>
  <c r="Z127" i="1"/>
  <c r="AA131" i="1"/>
  <c r="AA134" i="1"/>
  <c r="Z138" i="1"/>
  <c r="Z137" i="1"/>
  <c r="AB137" i="1" s="1"/>
  <c r="AI113" i="1"/>
  <c r="AK113" i="1" s="1"/>
  <c r="AH113" i="1"/>
  <c r="V113" i="1"/>
  <c r="R113" i="1"/>
  <c r="M113" i="1"/>
  <c r="I113" i="1"/>
  <c r="AI112" i="1"/>
  <c r="AK112" i="1" s="1"/>
  <c r="AH112" i="1"/>
  <c r="V112" i="1"/>
  <c r="R112" i="1"/>
  <c r="M112" i="1"/>
  <c r="I112" i="1"/>
  <c r="AI111" i="1"/>
  <c r="AK111" i="1" s="1"/>
  <c r="AH111" i="1"/>
  <c r="V111" i="1"/>
  <c r="R111" i="1"/>
  <c r="M111" i="1"/>
  <c r="I111" i="1"/>
  <c r="AI110" i="1"/>
  <c r="AK110" i="1" s="1"/>
  <c r="AH110" i="1"/>
  <c r="V110" i="1"/>
  <c r="R110" i="1"/>
  <c r="M110" i="1"/>
  <c r="I110" i="1"/>
  <c r="AI107" i="1"/>
  <c r="AK107" i="1" s="1"/>
  <c r="AH107" i="1"/>
  <c r="V107" i="1"/>
  <c r="R107" i="1"/>
  <c r="M107" i="1"/>
  <c r="I107" i="1"/>
  <c r="AI109" i="1"/>
  <c r="AK109" i="1" s="1"/>
  <c r="AH109" i="1"/>
  <c r="V109" i="1"/>
  <c r="R109" i="1"/>
  <c r="M109" i="1"/>
  <c r="I109" i="1"/>
  <c r="AI108" i="1"/>
  <c r="AK108" i="1" s="1"/>
  <c r="AH108" i="1"/>
  <c r="V108" i="1"/>
  <c r="R108" i="1"/>
  <c r="M108" i="1"/>
  <c r="I108" i="1"/>
  <c r="AI106" i="1"/>
  <c r="AK106" i="1" s="1"/>
  <c r="AH106" i="1"/>
  <c r="V106" i="1"/>
  <c r="R106" i="1"/>
  <c r="M106" i="1"/>
  <c r="I106" i="1"/>
  <c r="AI104" i="1"/>
  <c r="AK104" i="1" s="1"/>
  <c r="AH104" i="1"/>
  <c r="V104" i="1"/>
  <c r="R104" i="1"/>
  <c r="M104" i="1"/>
  <c r="I104" i="1"/>
  <c r="AI105" i="1"/>
  <c r="AK105" i="1" s="1"/>
  <c r="AH105" i="1"/>
  <c r="V105" i="1"/>
  <c r="R105" i="1"/>
  <c r="M105" i="1"/>
  <c r="I105" i="1"/>
  <c r="AI102" i="1"/>
  <c r="AK102" i="1" s="1"/>
  <c r="AH102" i="1"/>
  <c r="V102" i="1"/>
  <c r="R102" i="1"/>
  <c r="M102" i="1"/>
  <c r="I102" i="1"/>
  <c r="AI103" i="1"/>
  <c r="AK103" i="1" s="1"/>
  <c r="AH103" i="1"/>
  <c r="V103" i="1"/>
  <c r="R103" i="1"/>
  <c r="M103" i="1"/>
  <c r="I103" i="1"/>
  <c r="AI101" i="1"/>
  <c r="AK101" i="1" s="1"/>
  <c r="AH101" i="1"/>
  <c r="V101" i="1"/>
  <c r="R101" i="1"/>
  <c r="M101" i="1"/>
  <c r="I101" i="1"/>
  <c r="AI100" i="1"/>
  <c r="AK100" i="1" s="1"/>
  <c r="AH100" i="1"/>
  <c r="V100" i="1"/>
  <c r="R100" i="1"/>
  <c r="M100" i="1"/>
  <c r="I100" i="1"/>
  <c r="AI98" i="1"/>
  <c r="AK98" i="1" s="1"/>
  <c r="AH98" i="1"/>
  <c r="V98" i="1"/>
  <c r="R98" i="1"/>
  <c r="M98" i="1"/>
  <c r="I98" i="1"/>
  <c r="AI99" i="1"/>
  <c r="AK99" i="1" s="1"/>
  <c r="AH99" i="1"/>
  <c r="V99" i="1"/>
  <c r="R99" i="1"/>
  <c r="M99" i="1"/>
  <c r="I99" i="1"/>
  <c r="AI97" i="1"/>
  <c r="AK97" i="1" s="1"/>
  <c r="AH97" i="1"/>
  <c r="V97" i="1"/>
  <c r="R97" i="1"/>
  <c r="M97" i="1"/>
  <c r="I97" i="1"/>
  <c r="AI95" i="1"/>
  <c r="AK95" i="1" s="1"/>
  <c r="AH95" i="1"/>
  <c r="V95" i="1"/>
  <c r="R95" i="1"/>
  <c r="M95" i="1"/>
  <c r="I95" i="1"/>
  <c r="AI96" i="1"/>
  <c r="AK96" i="1" s="1"/>
  <c r="AH96" i="1"/>
  <c r="V96" i="1"/>
  <c r="R96" i="1"/>
  <c r="M96" i="1"/>
  <c r="I96" i="1"/>
  <c r="AI94" i="1"/>
  <c r="AK94" i="1" s="1"/>
  <c r="AH94" i="1"/>
  <c r="V94" i="1"/>
  <c r="R94" i="1"/>
  <c r="M94" i="1"/>
  <c r="I94" i="1"/>
  <c r="AI93" i="1"/>
  <c r="AK93" i="1" s="1"/>
  <c r="AH93" i="1"/>
  <c r="V93" i="1"/>
  <c r="R93" i="1"/>
  <c r="M93" i="1"/>
  <c r="I93" i="1"/>
  <c r="AI91" i="1"/>
  <c r="AK91" i="1" s="1"/>
  <c r="AH91" i="1"/>
  <c r="V91" i="1"/>
  <c r="R91" i="1"/>
  <c r="M91" i="1"/>
  <c r="I91" i="1"/>
  <c r="AI92" i="1"/>
  <c r="AK92" i="1" s="1"/>
  <c r="AH92" i="1"/>
  <c r="V92" i="1"/>
  <c r="R92" i="1"/>
  <c r="M92" i="1"/>
  <c r="I92" i="1"/>
  <c r="AI90" i="1"/>
  <c r="AK90" i="1" s="1"/>
  <c r="AH90" i="1"/>
  <c r="V90" i="1"/>
  <c r="R90" i="1"/>
  <c r="M90" i="1"/>
  <c r="I90" i="1"/>
  <c r="AI88" i="1"/>
  <c r="AK88" i="1" s="1"/>
  <c r="AH88" i="1"/>
  <c r="V88" i="1"/>
  <c r="R88" i="1"/>
  <c r="M88" i="1"/>
  <c r="I88" i="1"/>
  <c r="AI89" i="1"/>
  <c r="AK89" i="1" s="1"/>
  <c r="AH89" i="1"/>
  <c r="V89" i="1"/>
  <c r="R89" i="1"/>
  <c r="M89" i="1"/>
  <c r="I89" i="1"/>
  <c r="AI87" i="1"/>
  <c r="AK87" i="1" s="1"/>
  <c r="AH87" i="1"/>
  <c r="V87" i="1"/>
  <c r="R87" i="1"/>
  <c r="M87" i="1"/>
  <c r="I87" i="1"/>
  <c r="AI86" i="1"/>
  <c r="AK86" i="1" s="1"/>
  <c r="AH86" i="1"/>
  <c r="V86" i="1"/>
  <c r="R86" i="1"/>
  <c r="M86" i="1"/>
  <c r="I86" i="1"/>
  <c r="AI85" i="1"/>
  <c r="AK85" i="1" s="1"/>
  <c r="AH85" i="1"/>
  <c r="V85" i="1"/>
  <c r="R85" i="1"/>
  <c r="M85" i="1"/>
  <c r="I85" i="1"/>
  <c r="AB128" i="1" l="1"/>
  <c r="AA85" i="1"/>
  <c r="AA89" i="1"/>
  <c r="AA91" i="1"/>
  <c r="AA94" i="1"/>
  <c r="AA96" i="1"/>
  <c r="AA97" i="1"/>
  <c r="AA99" i="1"/>
  <c r="AA100" i="1"/>
  <c r="AA101" i="1"/>
  <c r="AA108" i="1"/>
  <c r="AA107" i="1"/>
  <c r="AB139" i="1"/>
  <c r="AA86" i="1"/>
  <c r="AA88" i="1"/>
  <c r="AA102" i="1"/>
  <c r="AA104" i="1"/>
  <c r="AA110" i="1"/>
  <c r="AB119" i="1"/>
  <c r="AB118" i="1"/>
  <c r="AB117" i="1"/>
  <c r="AB127" i="1"/>
  <c r="AB124" i="1"/>
  <c r="AB126" i="1"/>
  <c r="AB129" i="1"/>
  <c r="AB122" i="1"/>
  <c r="AA111" i="1"/>
  <c r="AA113" i="1"/>
  <c r="AB130" i="1"/>
  <c r="AB120" i="1"/>
  <c r="AB138" i="1"/>
  <c r="Z100" i="1"/>
  <c r="Z103" i="1"/>
  <c r="Z102" i="1"/>
  <c r="Z105" i="1"/>
  <c r="Z104" i="1"/>
  <c r="AB104" i="1" s="1"/>
  <c r="Z106" i="1"/>
  <c r="Z108" i="1"/>
  <c r="Z109" i="1"/>
  <c r="Z107" i="1"/>
  <c r="Z110" i="1"/>
  <c r="Z111" i="1"/>
  <c r="Z112" i="1"/>
  <c r="Z113" i="1"/>
  <c r="AB121" i="1"/>
  <c r="AB102" i="1"/>
  <c r="AB131" i="1"/>
  <c r="Z89" i="1"/>
  <c r="AB89" i="1" s="1"/>
  <c r="Z90" i="1"/>
  <c r="Z94" i="1"/>
  <c r="Z95" i="1"/>
  <c r="AB133" i="1"/>
  <c r="AA90" i="1"/>
  <c r="AB123" i="1"/>
  <c r="Z96" i="1"/>
  <c r="AA95" i="1"/>
  <c r="Z101" i="1"/>
  <c r="Z88" i="1"/>
  <c r="AB88" i="1" s="1"/>
  <c r="AA103" i="1"/>
  <c r="AA105" i="1"/>
  <c r="AA106" i="1"/>
  <c r="AB106" i="1" s="1"/>
  <c r="AA109" i="1"/>
  <c r="AA112" i="1"/>
  <c r="AB134" i="1"/>
  <c r="Z85" i="1"/>
  <c r="AB85" i="1" s="1"/>
  <c r="Z86" i="1"/>
  <c r="AB86" i="1" s="1"/>
  <c r="Z92" i="1"/>
  <c r="Z91" i="1"/>
  <c r="Z97" i="1"/>
  <c r="Z99" i="1"/>
  <c r="AB99" i="1" s="1"/>
  <c r="AA92" i="1"/>
  <c r="Z93" i="1"/>
  <c r="Z98" i="1"/>
  <c r="Z87" i="1"/>
  <c r="AA87" i="1"/>
  <c r="AA93" i="1"/>
  <c r="AA98" i="1"/>
  <c r="AI83" i="1"/>
  <c r="AK83" i="1" s="1"/>
  <c r="AH83" i="1"/>
  <c r="V83" i="1"/>
  <c r="R83" i="1"/>
  <c r="M83" i="1"/>
  <c r="I83" i="1"/>
  <c r="AI84" i="1"/>
  <c r="AK84" i="1" s="1"/>
  <c r="AH84" i="1"/>
  <c r="V84" i="1"/>
  <c r="R84" i="1"/>
  <c r="M84" i="1"/>
  <c r="I84" i="1"/>
  <c r="AI82" i="1"/>
  <c r="AK82" i="1" s="1"/>
  <c r="AH82" i="1"/>
  <c r="V82" i="1"/>
  <c r="R82" i="1"/>
  <c r="M82" i="1"/>
  <c r="I82" i="1"/>
  <c r="AI81" i="1"/>
  <c r="AK81" i="1" s="1"/>
  <c r="AH81" i="1"/>
  <c r="V81" i="1"/>
  <c r="R81" i="1"/>
  <c r="M81" i="1"/>
  <c r="I81" i="1"/>
  <c r="AI80" i="1"/>
  <c r="AK80" i="1" s="1"/>
  <c r="AH80" i="1"/>
  <c r="V80" i="1"/>
  <c r="R80" i="1"/>
  <c r="M80" i="1"/>
  <c r="I80" i="1"/>
  <c r="AI79" i="1"/>
  <c r="AK79" i="1" s="1"/>
  <c r="AH79" i="1"/>
  <c r="V79" i="1"/>
  <c r="R79" i="1"/>
  <c r="M79" i="1"/>
  <c r="I79" i="1"/>
  <c r="AI78" i="1"/>
  <c r="AK78" i="1" s="1"/>
  <c r="AH78" i="1"/>
  <c r="V78" i="1"/>
  <c r="R78" i="1"/>
  <c r="M78" i="1"/>
  <c r="I78" i="1"/>
  <c r="AI77" i="1"/>
  <c r="AK77" i="1" s="1"/>
  <c r="AH77" i="1"/>
  <c r="V77" i="1"/>
  <c r="R77" i="1"/>
  <c r="M77" i="1"/>
  <c r="I77" i="1"/>
  <c r="AI76" i="1"/>
  <c r="AK76" i="1" s="1"/>
  <c r="AH76" i="1"/>
  <c r="V76" i="1"/>
  <c r="R76" i="1"/>
  <c r="M76" i="1"/>
  <c r="I76" i="1"/>
  <c r="AI74" i="1"/>
  <c r="AK74" i="1" s="1"/>
  <c r="AH74" i="1"/>
  <c r="V74" i="1"/>
  <c r="R74" i="1"/>
  <c r="M74" i="1"/>
  <c r="I74" i="1"/>
  <c r="AI75" i="1"/>
  <c r="AK75" i="1" s="1"/>
  <c r="AH75" i="1"/>
  <c r="V75" i="1"/>
  <c r="R75" i="1"/>
  <c r="M75" i="1"/>
  <c r="I75" i="1"/>
  <c r="AI73" i="1"/>
  <c r="AK73" i="1" s="1"/>
  <c r="AH73" i="1"/>
  <c r="V73" i="1"/>
  <c r="R73" i="1"/>
  <c r="M73" i="1"/>
  <c r="I73" i="1"/>
  <c r="AI72" i="1"/>
  <c r="AK72" i="1" s="1"/>
  <c r="AH72" i="1"/>
  <c r="V72" i="1"/>
  <c r="R72" i="1"/>
  <c r="M72" i="1"/>
  <c r="I72" i="1"/>
  <c r="AI70" i="1"/>
  <c r="AK70" i="1" s="1"/>
  <c r="AH70" i="1"/>
  <c r="V70" i="1"/>
  <c r="R70" i="1"/>
  <c r="M70" i="1"/>
  <c r="I70" i="1"/>
  <c r="AI68" i="1"/>
  <c r="AK68" i="1" s="1"/>
  <c r="AH68" i="1"/>
  <c r="V68" i="1"/>
  <c r="R68" i="1"/>
  <c r="M68" i="1"/>
  <c r="I68" i="1"/>
  <c r="AI69" i="1"/>
  <c r="AK69" i="1" s="1"/>
  <c r="AH69" i="1"/>
  <c r="V69" i="1"/>
  <c r="R69" i="1"/>
  <c r="M69" i="1"/>
  <c r="I69" i="1"/>
  <c r="AI67" i="1"/>
  <c r="AK67" i="1" s="1"/>
  <c r="AH67" i="1"/>
  <c r="V67" i="1"/>
  <c r="R67" i="1"/>
  <c r="M67" i="1"/>
  <c r="I67" i="1"/>
  <c r="AI66" i="1"/>
  <c r="AK66" i="1" s="1"/>
  <c r="AH66" i="1"/>
  <c r="V66" i="1"/>
  <c r="R66" i="1"/>
  <c r="M66" i="1"/>
  <c r="I66" i="1"/>
  <c r="AI65" i="1"/>
  <c r="AK65" i="1" s="1"/>
  <c r="AH65" i="1"/>
  <c r="V65" i="1"/>
  <c r="R65" i="1"/>
  <c r="M65" i="1"/>
  <c r="I65" i="1"/>
  <c r="AI64" i="1"/>
  <c r="AK64" i="1" s="1"/>
  <c r="AH64" i="1"/>
  <c r="V64" i="1"/>
  <c r="R64" i="1"/>
  <c r="M64" i="1"/>
  <c r="I64" i="1"/>
  <c r="AB100" i="1" l="1"/>
  <c r="AB96" i="1"/>
  <c r="AB110" i="1"/>
  <c r="AB107" i="1"/>
  <c r="AB91" i="1"/>
  <c r="AB97" i="1"/>
  <c r="AB101" i="1"/>
  <c r="AB94" i="1"/>
  <c r="AB108" i="1"/>
  <c r="AB109" i="1"/>
  <c r="AB113" i="1"/>
  <c r="AB103" i="1"/>
  <c r="AB111" i="1"/>
  <c r="AB112" i="1"/>
  <c r="AB95" i="1"/>
  <c r="AB105" i="1"/>
  <c r="AB90" i="1"/>
  <c r="AB92" i="1"/>
  <c r="AB98" i="1"/>
  <c r="AA67" i="1"/>
  <c r="AA79" i="1"/>
  <c r="AA81" i="1"/>
  <c r="AB87" i="1"/>
  <c r="AB93" i="1"/>
  <c r="Z72" i="1"/>
  <c r="Z73" i="1"/>
  <c r="Z74" i="1"/>
  <c r="AA75" i="1"/>
  <c r="Z82" i="1"/>
  <c r="Z84" i="1"/>
  <c r="AA64" i="1"/>
  <c r="AA68" i="1"/>
  <c r="AA69" i="1"/>
  <c r="AA84" i="1"/>
  <c r="AA78" i="1"/>
  <c r="Z65" i="1"/>
  <c r="AA70" i="1"/>
  <c r="AA83" i="1"/>
  <c r="AA73" i="1"/>
  <c r="Z78" i="1"/>
  <c r="Z69" i="1"/>
  <c r="AA77" i="1"/>
  <c r="Z79" i="1"/>
  <c r="Z83" i="1"/>
  <c r="AA66" i="1"/>
  <c r="Z68" i="1"/>
  <c r="Z76" i="1"/>
  <c r="Z64" i="1"/>
  <c r="Z70" i="1"/>
  <c r="AA74" i="1"/>
  <c r="Z77" i="1"/>
  <c r="AA80" i="1"/>
  <c r="AA82" i="1"/>
  <c r="Z66" i="1"/>
  <c r="AA76" i="1"/>
  <c r="AA65" i="1"/>
  <c r="Z67" i="1"/>
  <c r="AA72" i="1"/>
  <c r="Z75" i="1"/>
  <c r="Z80" i="1"/>
  <c r="Z81" i="1"/>
  <c r="AI63" i="1"/>
  <c r="AK63" i="1" s="1"/>
  <c r="AH63" i="1"/>
  <c r="V63" i="1"/>
  <c r="R63" i="1"/>
  <c r="M63" i="1"/>
  <c r="I63" i="1"/>
  <c r="AI62" i="1"/>
  <c r="AK62" i="1" s="1"/>
  <c r="AH62" i="1"/>
  <c r="V62" i="1"/>
  <c r="R62" i="1"/>
  <c r="M62" i="1"/>
  <c r="I62" i="1"/>
  <c r="AI60" i="1"/>
  <c r="AK60" i="1" s="1"/>
  <c r="AH60" i="1"/>
  <c r="V60" i="1"/>
  <c r="R60" i="1"/>
  <c r="M60" i="1"/>
  <c r="I60" i="1"/>
  <c r="AI61" i="1"/>
  <c r="AK61" i="1" s="1"/>
  <c r="AH61" i="1"/>
  <c r="V61" i="1"/>
  <c r="R61" i="1"/>
  <c r="M61" i="1"/>
  <c r="I61" i="1"/>
  <c r="AI59" i="1"/>
  <c r="AK59" i="1" s="1"/>
  <c r="AH59" i="1"/>
  <c r="V59" i="1"/>
  <c r="R59" i="1"/>
  <c r="M59" i="1"/>
  <c r="I59" i="1"/>
  <c r="AI58" i="1"/>
  <c r="AK58" i="1" s="1"/>
  <c r="AH58" i="1"/>
  <c r="V58" i="1"/>
  <c r="R58" i="1"/>
  <c r="M58" i="1"/>
  <c r="I58" i="1"/>
  <c r="AI57" i="1"/>
  <c r="AK57" i="1" s="1"/>
  <c r="AH57" i="1"/>
  <c r="V57" i="1"/>
  <c r="R57" i="1"/>
  <c r="M57" i="1"/>
  <c r="I57" i="1"/>
  <c r="AI56" i="1"/>
  <c r="AK56" i="1" s="1"/>
  <c r="AH56" i="1"/>
  <c r="V56" i="1"/>
  <c r="R56" i="1"/>
  <c r="M56" i="1"/>
  <c r="I56" i="1"/>
  <c r="AI54" i="1"/>
  <c r="AK54" i="1" s="1"/>
  <c r="AH54" i="1"/>
  <c r="V54" i="1"/>
  <c r="R54" i="1"/>
  <c r="M54" i="1"/>
  <c r="I54" i="1"/>
  <c r="AI55" i="1"/>
  <c r="AK55" i="1" s="1"/>
  <c r="AH55" i="1"/>
  <c r="V55" i="1"/>
  <c r="R55" i="1"/>
  <c r="M55" i="1"/>
  <c r="I55" i="1"/>
  <c r="AI53" i="1"/>
  <c r="AK53" i="1" s="1"/>
  <c r="AH53" i="1"/>
  <c r="V53" i="1"/>
  <c r="R53" i="1"/>
  <c r="M53" i="1"/>
  <c r="I53" i="1"/>
  <c r="AI52" i="1"/>
  <c r="AK52" i="1" s="1"/>
  <c r="AH52" i="1"/>
  <c r="V52" i="1"/>
  <c r="R52" i="1"/>
  <c r="M52" i="1"/>
  <c r="I52" i="1"/>
  <c r="AI51" i="1"/>
  <c r="AK51" i="1" s="1"/>
  <c r="AH51" i="1"/>
  <c r="V51" i="1"/>
  <c r="R51" i="1"/>
  <c r="M51" i="1"/>
  <c r="I51" i="1"/>
  <c r="AI50" i="1"/>
  <c r="AK50" i="1" s="1"/>
  <c r="AH50" i="1"/>
  <c r="V50" i="1"/>
  <c r="R50" i="1"/>
  <c r="M50" i="1"/>
  <c r="I50" i="1"/>
  <c r="AI49" i="1"/>
  <c r="AK49" i="1" s="1"/>
  <c r="AH49" i="1"/>
  <c r="V49" i="1"/>
  <c r="R49" i="1"/>
  <c r="M49" i="1"/>
  <c r="I49" i="1"/>
  <c r="AI48" i="1"/>
  <c r="AK48" i="1" s="1"/>
  <c r="AH48" i="1"/>
  <c r="V48" i="1"/>
  <c r="R48" i="1"/>
  <c r="M48" i="1"/>
  <c r="I48" i="1"/>
  <c r="AI47" i="1"/>
  <c r="AK47" i="1" s="1"/>
  <c r="AH47" i="1"/>
  <c r="V47" i="1"/>
  <c r="R47" i="1"/>
  <c r="M47" i="1"/>
  <c r="I47" i="1"/>
  <c r="AI46" i="1"/>
  <c r="AK46" i="1" s="1"/>
  <c r="AH46" i="1"/>
  <c r="V46" i="1"/>
  <c r="R46" i="1"/>
  <c r="M46" i="1"/>
  <c r="I46" i="1"/>
  <c r="AI45" i="1"/>
  <c r="AK45" i="1" s="1"/>
  <c r="AH45" i="1"/>
  <c r="V45" i="1"/>
  <c r="R45" i="1"/>
  <c r="M45" i="1"/>
  <c r="I45" i="1"/>
  <c r="AI44" i="1"/>
  <c r="AK44" i="1" s="1"/>
  <c r="AH44" i="1"/>
  <c r="V44" i="1"/>
  <c r="R44" i="1"/>
  <c r="M44" i="1"/>
  <c r="I44" i="1"/>
  <c r="AI42" i="1"/>
  <c r="AK42" i="1" s="1"/>
  <c r="AH42" i="1"/>
  <c r="V42" i="1"/>
  <c r="R42" i="1"/>
  <c r="M42" i="1"/>
  <c r="I42" i="1"/>
  <c r="AI43" i="1"/>
  <c r="AK43" i="1" s="1"/>
  <c r="AH43" i="1"/>
  <c r="V43" i="1"/>
  <c r="R43" i="1"/>
  <c r="M43" i="1"/>
  <c r="I43" i="1"/>
  <c r="AI41" i="1"/>
  <c r="AK41" i="1" s="1"/>
  <c r="AH41" i="1"/>
  <c r="V41" i="1"/>
  <c r="R41" i="1"/>
  <c r="M41" i="1"/>
  <c r="I41" i="1"/>
  <c r="AI40" i="1"/>
  <c r="AK40" i="1" s="1"/>
  <c r="AH40" i="1"/>
  <c r="V40" i="1"/>
  <c r="R40" i="1"/>
  <c r="M40" i="1"/>
  <c r="I40" i="1"/>
  <c r="AI38" i="1"/>
  <c r="AK38" i="1" s="1"/>
  <c r="AH38" i="1"/>
  <c r="V38" i="1"/>
  <c r="R38" i="1"/>
  <c r="M38" i="1"/>
  <c r="I38" i="1"/>
  <c r="AI39" i="1"/>
  <c r="AK39" i="1" s="1"/>
  <c r="AH39" i="1"/>
  <c r="V39" i="1"/>
  <c r="R39" i="1"/>
  <c r="M39" i="1"/>
  <c r="I39" i="1"/>
  <c r="AI37" i="1"/>
  <c r="AK37" i="1" s="1"/>
  <c r="AH37" i="1"/>
  <c r="V37" i="1"/>
  <c r="R37" i="1"/>
  <c r="M37" i="1"/>
  <c r="I37" i="1"/>
  <c r="AI36" i="1"/>
  <c r="AK36" i="1" s="1"/>
  <c r="AH36" i="1"/>
  <c r="V36" i="1"/>
  <c r="R36" i="1"/>
  <c r="M36" i="1"/>
  <c r="I36" i="1"/>
  <c r="AI35" i="1"/>
  <c r="AK35" i="1" s="1"/>
  <c r="AH35" i="1"/>
  <c r="V35" i="1"/>
  <c r="R35" i="1"/>
  <c r="M35" i="1"/>
  <c r="I35" i="1"/>
  <c r="AI34" i="1"/>
  <c r="AK34" i="1" s="1"/>
  <c r="AH34" i="1"/>
  <c r="V34" i="1"/>
  <c r="R34" i="1"/>
  <c r="M34" i="1"/>
  <c r="I34" i="1"/>
  <c r="AI33" i="1"/>
  <c r="AK33" i="1" s="1"/>
  <c r="AH33" i="1"/>
  <c r="V33" i="1"/>
  <c r="R33" i="1"/>
  <c r="M33" i="1"/>
  <c r="I33" i="1"/>
  <c r="AI32" i="1"/>
  <c r="AK32" i="1" s="1"/>
  <c r="AH32" i="1"/>
  <c r="V32" i="1"/>
  <c r="R32" i="1"/>
  <c r="M32" i="1"/>
  <c r="I32" i="1"/>
  <c r="AI31" i="1"/>
  <c r="AK31" i="1" s="1"/>
  <c r="AH31" i="1"/>
  <c r="V31" i="1"/>
  <c r="R31" i="1"/>
  <c r="M31" i="1"/>
  <c r="I31" i="1"/>
  <c r="AB82" i="1" l="1"/>
  <c r="AB74" i="1"/>
  <c r="AB79" i="1"/>
  <c r="AB77" i="1"/>
  <c r="AB81" i="1"/>
  <c r="AB67" i="1"/>
  <c r="AB70" i="1"/>
  <c r="AB73" i="1"/>
  <c r="AB72" i="1"/>
  <c r="AB80" i="1"/>
  <c r="AB78" i="1"/>
  <c r="AB84" i="1"/>
  <c r="AB75" i="1"/>
  <c r="AB64" i="1"/>
  <c r="AB65" i="1"/>
  <c r="AB66" i="1"/>
  <c r="AB69" i="1"/>
  <c r="Z31" i="1"/>
  <c r="Z33" i="1"/>
  <c r="Z35" i="1"/>
  <c r="Z36" i="1"/>
  <c r="Z37" i="1"/>
  <c r="Z39" i="1"/>
  <c r="Z38" i="1"/>
  <c r="AB76" i="1"/>
  <c r="AB83" i="1"/>
  <c r="AB68" i="1"/>
  <c r="AA34" i="1"/>
  <c r="Z53" i="1"/>
  <c r="Z55" i="1"/>
  <c r="Z54" i="1"/>
  <c r="Z56" i="1"/>
  <c r="Z58" i="1"/>
  <c r="Z59" i="1"/>
  <c r="Z61" i="1"/>
  <c r="Z60" i="1"/>
  <c r="Z63" i="1"/>
  <c r="AA55" i="1"/>
  <c r="AA58" i="1"/>
  <c r="Z42" i="1"/>
  <c r="AA38" i="1"/>
  <c r="Z47" i="1"/>
  <c r="AA32" i="1"/>
  <c r="Z51" i="1"/>
  <c r="AA47" i="1"/>
  <c r="AA52" i="1"/>
  <c r="AA37" i="1"/>
  <c r="AA40" i="1"/>
  <c r="Z45" i="1"/>
  <c r="Z46" i="1"/>
  <c r="AA33" i="1"/>
  <c r="AA42" i="1"/>
  <c r="AB42" i="1" s="1"/>
  <c r="Z57" i="1"/>
  <c r="AA63" i="1"/>
  <c r="AA54" i="1"/>
  <c r="AB54" i="1" s="1"/>
  <c r="AA31" i="1"/>
  <c r="AA60" i="1"/>
  <c r="AA36" i="1"/>
  <c r="AB36" i="1" s="1"/>
  <c r="Z49" i="1"/>
  <c r="Z50" i="1"/>
  <c r="Z41" i="1"/>
  <c r="Z43" i="1"/>
  <c r="AA48" i="1"/>
  <c r="Z62" i="1"/>
  <c r="Z34" i="1"/>
  <c r="AA39" i="1"/>
  <c r="Z40" i="1"/>
  <c r="Z44" i="1"/>
  <c r="Z48" i="1"/>
  <c r="Z52" i="1"/>
  <c r="AA56" i="1"/>
  <c r="AA62" i="1"/>
  <c r="AA51" i="1"/>
  <c r="AA44" i="1"/>
  <c r="AB44" i="1" s="1"/>
  <c r="AA57" i="1"/>
  <c r="AA35" i="1"/>
  <c r="AB35" i="1" s="1"/>
  <c r="Z32" i="1"/>
  <c r="AA41" i="1"/>
  <c r="AA45" i="1"/>
  <c r="AB45" i="1" s="1"/>
  <c r="AA49" i="1"/>
  <c r="AA53" i="1"/>
  <c r="AA43" i="1"/>
  <c r="AB43" i="1" s="1"/>
  <c r="AA46" i="1"/>
  <c r="AA50" i="1"/>
  <c r="AB50" i="1" s="1"/>
  <c r="AA59" i="1"/>
  <c r="AA61" i="1"/>
  <c r="AB58" i="1" l="1"/>
  <c r="AB39" i="1"/>
  <c r="AB53" i="1"/>
  <c r="AB32" i="1"/>
  <c r="AB57" i="1"/>
  <c r="AB60" i="1"/>
  <c r="AB61" i="1"/>
  <c r="AB51" i="1"/>
  <c r="AB59" i="1"/>
  <c r="AB62" i="1"/>
  <c r="AB46" i="1"/>
  <c r="AB56" i="1"/>
  <c r="AB37" i="1"/>
  <c r="AB63" i="1"/>
  <c r="AB40" i="1"/>
  <c r="AB41" i="1"/>
  <c r="AB38" i="1"/>
  <c r="AB52" i="1"/>
  <c r="AB34" i="1"/>
  <c r="AB47" i="1"/>
  <c r="AB48" i="1"/>
  <c r="AB33" i="1"/>
  <c r="AB49" i="1"/>
  <c r="AB31" i="1"/>
  <c r="AB55" i="1"/>
  <c r="I3" i="1"/>
  <c r="I4" i="1"/>
  <c r="I5" i="1"/>
  <c r="I9" i="1"/>
  <c r="I7" i="1"/>
  <c r="I8" i="1"/>
  <c r="I10" i="1"/>
  <c r="I6" i="1"/>
  <c r="I14" i="1"/>
  <c r="I13" i="1"/>
  <c r="I12" i="1"/>
  <c r="I11" i="1"/>
  <c r="I15" i="1"/>
  <c r="I17" i="1"/>
  <c r="I16" i="1"/>
  <c r="I18" i="1"/>
  <c r="I19" i="1"/>
  <c r="I21" i="1"/>
  <c r="I20" i="1"/>
  <c r="I23" i="1"/>
  <c r="I22" i="1"/>
  <c r="I25" i="1"/>
  <c r="I26" i="1"/>
  <c r="I24" i="1"/>
  <c r="I27" i="1"/>
  <c r="I28" i="1"/>
  <c r="I29" i="1"/>
  <c r="I30" i="1"/>
  <c r="M3" i="1"/>
  <c r="M4" i="1"/>
  <c r="M5" i="1"/>
  <c r="M9" i="1"/>
  <c r="M7" i="1"/>
  <c r="M8" i="1"/>
  <c r="M10" i="1"/>
  <c r="M6" i="1"/>
  <c r="M14" i="1"/>
  <c r="M13" i="1"/>
  <c r="M12" i="1"/>
  <c r="M11" i="1"/>
  <c r="M15" i="1"/>
  <c r="M17" i="1"/>
  <c r="M16" i="1"/>
  <c r="M18" i="1"/>
  <c r="M19" i="1"/>
  <c r="M21" i="1"/>
  <c r="M20" i="1"/>
  <c r="M23" i="1"/>
  <c r="M22" i="1"/>
  <c r="M25" i="1"/>
  <c r="M26" i="1"/>
  <c r="M24" i="1"/>
  <c r="M27" i="1"/>
  <c r="M28" i="1"/>
  <c r="M29" i="1"/>
  <c r="M30" i="1"/>
  <c r="R3" i="1"/>
  <c r="R4" i="1"/>
  <c r="R5" i="1"/>
  <c r="R9" i="1"/>
  <c r="R7" i="1"/>
  <c r="R8" i="1"/>
  <c r="R10" i="1"/>
  <c r="R6" i="1"/>
  <c r="R14" i="1"/>
  <c r="R13" i="1"/>
  <c r="R12" i="1"/>
  <c r="R11" i="1"/>
  <c r="R15" i="1"/>
  <c r="R17" i="1"/>
  <c r="R16" i="1"/>
  <c r="R18" i="1"/>
  <c r="R19" i="1"/>
  <c r="R21" i="1"/>
  <c r="R20" i="1"/>
  <c r="R23" i="1"/>
  <c r="R22" i="1"/>
  <c r="R25" i="1"/>
  <c r="R26" i="1"/>
  <c r="R24" i="1"/>
  <c r="R27" i="1"/>
  <c r="R28" i="1"/>
  <c r="R29" i="1"/>
  <c r="R30" i="1"/>
  <c r="V3" i="1"/>
  <c r="V4" i="1"/>
  <c r="V5" i="1"/>
  <c r="V9" i="1"/>
  <c r="V7" i="1"/>
  <c r="V8" i="1"/>
  <c r="V10" i="1"/>
  <c r="V6" i="1"/>
  <c r="V14" i="1"/>
  <c r="V13" i="1"/>
  <c r="V12" i="1"/>
  <c r="V11" i="1"/>
  <c r="V15" i="1"/>
  <c r="V17" i="1"/>
  <c r="V16" i="1"/>
  <c r="V18" i="1"/>
  <c r="V19" i="1"/>
  <c r="V21" i="1"/>
  <c r="V20" i="1"/>
  <c r="V23" i="1"/>
  <c r="V22" i="1"/>
  <c r="V25" i="1"/>
  <c r="V26" i="1"/>
  <c r="V24" i="1"/>
  <c r="V27" i="1"/>
  <c r="V28" i="1"/>
  <c r="V29" i="1"/>
  <c r="V30" i="1"/>
  <c r="V2" i="1"/>
  <c r="R2" i="1"/>
  <c r="M2" i="1"/>
  <c r="I2" i="1"/>
  <c r="AA29" i="1" l="1"/>
  <c r="AA22" i="1"/>
  <c r="AA16" i="1"/>
  <c r="AA28" i="1"/>
  <c r="AA17" i="1"/>
  <c r="AA4" i="1"/>
  <c r="Z30" i="1"/>
  <c r="Z25" i="1"/>
  <c r="Z18" i="1"/>
  <c r="Z13" i="1"/>
  <c r="Z9" i="1"/>
  <c r="AA23" i="1"/>
  <c r="AA6" i="1"/>
  <c r="AA20" i="1"/>
  <c r="AA14" i="1"/>
  <c r="AA5" i="1"/>
  <c r="Z26" i="1"/>
  <c r="AA2" i="1"/>
  <c r="AA27" i="1"/>
  <c r="AA15" i="1"/>
  <c r="AA10" i="1"/>
  <c r="AA3" i="1"/>
  <c r="Z29" i="1"/>
  <c r="AB29" i="1" s="1"/>
  <c r="Z22" i="1"/>
  <c r="Z16" i="1"/>
  <c r="Z14" i="1"/>
  <c r="Z5" i="1"/>
  <c r="Z2" i="1"/>
  <c r="AA30" i="1"/>
  <c r="AA25" i="1"/>
  <c r="AA18" i="1"/>
  <c r="AA13" i="1"/>
  <c r="AA9" i="1"/>
  <c r="Z24" i="1"/>
  <c r="Z21" i="1"/>
  <c r="Z11" i="1"/>
  <c r="Z8" i="1"/>
  <c r="Z19" i="1"/>
  <c r="Z12" i="1"/>
  <c r="Z7" i="1"/>
  <c r="AA24" i="1"/>
  <c r="AA21" i="1"/>
  <c r="AA11" i="1"/>
  <c r="AA8" i="1"/>
  <c r="Z28" i="1"/>
  <c r="Z23" i="1"/>
  <c r="Z17" i="1"/>
  <c r="Z6" i="1"/>
  <c r="Z4" i="1"/>
  <c r="AA26" i="1"/>
  <c r="AA19" i="1"/>
  <c r="AB19" i="1" s="1"/>
  <c r="AA12" i="1"/>
  <c r="AA7" i="1"/>
  <c r="AB7" i="1" s="1"/>
  <c r="Z27" i="1"/>
  <c r="Z20" i="1"/>
  <c r="Z15" i="1"/>
  <c r="Z10" i="1"/>
  <c r="Z3" i="1"/>
  <c r="AF21" i="1"/>
  <c r="AH21" i="1" s="1"/>
  <c r="AB21" i="1" l="1"/>
  <c r="AB22" i="1"/>
  <c r="AB24" i="1"/>
  <c r="AB16" i="1"/>
  <c r="AB9" i="1"/>
  <c r="AB2" i="1"/>
  <c r="AB23" i="1"/>
  <c r="AB26" i="1"/>
  <c r="AB13" i="1"/>
  <c r="AB8" i="1"/>
  <c r="AB25" i="1"/>
  <c r="AB30" i="1"/>
  <c r="AB18" i="1"/>
  <c r="AB17" i="1"/>
  <c r="AB4" i="1"/>
  <c r="AB12" i="1"/>
  <c r="AB3" i="1"/>
  <c r="AB5" i="1"/>
  <c r="AB28" i="1"/>
  <c r="AB10" i="1"/>
  <c r="AB14" i="1"/>
  <c r="AB15" i="1"/>
  <c r="AB20" i="1"/>
  <c r="AB11" i="1"/>
  <c r="AB27" i="1"/>
  <c r="AB6" i="1"/>
  <c r="AF8" i="1"/>
  <c r="AF10" i="1" l="1"/>
  <c r="AF6" i="1"/>
  <c r="AF14" i="1"/>
  <c r="AF13" i="1"/>
  <c r="AF12" i="1"/>
  <c r="AF11" i="1"/>
  <c r="AF15" i="1"/>
  <c r="AF17" i="1"/>
  <c r="AF16" i="1"/>
  <c r="AF18" i="1"/>
  <c r="AF19" i="1"/>
  <c r="AF20" i="1"/>
  <c r="AF23" i="1"/>
  <c r="AF22" i="1"/>
  <c r="AF25" i="1"/>
  <c r="AF26" i="1"/>
  <c r="AF24" i="1"/>
  <c r="AF27" i="1"/>
  <c r="AF28" i="1"/>
  <c r="AF29" i="1"/>
  <c r="AF30" i="1"/>
  <c r="AF7" i="1"/>
  <c r="AF9" i="1"/>
  <c r="AF5" i="1"/>
  <c r="AF4" i="1"/>
  <c r="AF3" i="1"/>
  <c r="AF2" i="1"/>
  <c r="AK3" i="1" l="1"/>
  <c r="AK4" i="1"/>
  <c r="AK8" i="1"/>
  <c r="AK10" i="1"/>
  <c r="AK6" i="1"/>
  <c r="AK14" i="1"/>
  <c r="AK13" i="1"/>
  <c r="AK12" i="1"/>
  <c r="AK11" i="1"/>
  <c r="AK15" i="1"/>
  <c r="AK17" i="1"/>
  <c r="AK16" i="1"/>
  <c r="AK18" i="1"/>
  <c r="AK19" i="1"/>
  <c r="AK21" i="1"/>
  <c r="AK20" i="1"/>
  <c r="AK23" i="1"/>
  <c r="AK22" i="1"/>
  <c r="AK25" i="1"/>
  <c r="AK26" i="1"/>
  <c r="AK24" i="1"/>
  <c r="AK27" i="1"/>
  <c r="AK28" i="1"/>
  <c r="AK29" i="1"/>
  <c r="AK30" i="1"/>
  <c r="AK2" i="1"/>
  <c r="AH3" i="1" l="1"/>
  <c r="AH4" i="1"/>
  <c r="AH8" i="1"/>
  <c r="AH10" i="1"/>
  <c r="AH6" i="1"/>
  <c r="AH14" i="1"/>
  <c r="AH13" i="1"/>
  <c r="AH12" i="1"/>
  <c r="AH11" i="1"/>
  <c r="AH15" i="1"/>
  <c r="AH17" i="1"/>
  <c r="AH16" i="1"/>
  <c r="AH18" i="1"/>
  <c r="AH19" i="1"/>
  <c r="AH20" i="1"/>
  <c r="AH23" i="1"/>
  <c r="AH22" i="1"/>
  <c r="AH25" i="1"/>
  <c r="AH26" i="1"/>
  <c r="AH24" i="1"/>
  <c r="AH27" i="1"/>
  <c r="AH28" i="1"/>
  <c r="AH29" i="1"/>
  <c r="AH30" i="1"/>
  <c r="AH2" i="1"/>
  <c r="AH9" i="1" l="1"/>
  <c r="AK9" i="1"/>
  <c r="AH7" i="1"/>
  <c r="AK7" i="1"/>
  <c r="AH5" i="1"/>
  <c r="AK5" i="1"/>
</calcChain>
</file>

<file path=xl/comments1.xml><?xml version="1.0" encoding="utf-8"?>
<comments xmlns="http://schemas.openxmlformats.org/spreadsheetml/2006/main">
  <authors>
    <author>ajoumc</author>
    <author>ajounm</author>
  </authors>
  <commentList>
    <comment ref="AM1" authorId="0" shapeId="0">
      <text>
        <r>
          <rPr>
            <b/>
            <sz val="9"/>
            <color indexed="81"/>
            <rFont val="Tahoma"/>
            <family val="2"/>
          </rPr>
          <t>ajoumc: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다이콤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저장했는지</t>
        </r>
        <r>
          <rPr>
            <sz val="9"/>
            <color indexed="81"/>
            <rFont val="Tahoma"/>
            <family val="2"/>
          </rPr>
          <t>! USB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저장장치에</t>
        </r>
        <r>
          <rPr>
            <sz val="9"/>
            <color indexed="81"/>
            <rFont val="Tahoma"/>
            <family val="2"/>
          </rPr>
          <t xml:space="preserve">! </t>
        </r>
      </text>
    </comment>
    <comment ref="AE25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 lspine</t>
        </r>
      </text>
    </comment>
    <comment ref="AE38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lspine</t>
        </r>
      </text>
    </comment>
    <comment ref="AE52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손가락</t>
        </r>
      </text>
    </comment>
    <comment ref="AE71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</t>
        </r>
      </text>
    </comment>
    <comment ref="AE98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</t>
        </r>
      </text>
    </comment>
    <comment ref="AE100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1st anterior right rib</t>
        </r>
      </text>
    </comment>
    <comment ref="AB147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checked</t>
        </r>
      </text>
    </comment>
    <comment ref="AE151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ankle</t>
        </r>
      </text>
    </comment>
    <comment ref="AE178" authorId="1" shapeId="0">
      <text>
        <r>
          <rPr>
            <b/>
            <sz val="9"/>
            <color indexed="81"/>
            <rFont val="Tahoma"/>
            <family val="2"/>
          </rPr>
          <t>ajounm:</t>
        </r>
        <r>
          <rPr>
            <sz val="9"/>
            <color indexed="81"/>
            <rFont val="Tahoma"/>
            <family val="2"/>
          </rPr>
          <t xml:space="preserve">
hand?</t>
        </r>
      </text>
    </comment>
  </commentList>
</comments>
</file>

<file path=xl/sharedStrings.xml><?xml version="1.0" encoding="utf-8"?>
<sst xmlns="http://schemas.openxmlformats.org/spreadsheetml/2006/main" count="2480" uniqueCount="860">
  <si>
    <t>ID</t>
  </si>
  <si>
    <t>Name</t>
  </si>
  <si>
    <t>Sex</t>
  </si>
  <si>
    <t>Age</t>
  </si>
  <si>
    <t>Birth Date</t>
  </si>
  <si>
    <t>Study Date</t>
  </si>
  <si>
    <t>Requesting Name</t>
  </si>
  <si>
    <t>투여시간</t>
    <phoneticPr fontId="18" type="noConversion"/>
  </si>
  <si>
    <t>검사장비</t>
    <phoneticPr fontId="18" type="noConversion"/>
  </si>
  <si>
    <t>1_femur_Total Count</t>
    <phoneticPr fontId="18" type="noConversion"/>
  </si>
  <si>
    <t>1_femur_Avg. Count</t>
    <phoneticPr fontId="18" type="noConversion"/>
  </si>
  <si>
    <t>1_femur_Std Dev</t>
    <phoneticPr fontId="18" type="noConversion"/>
  </si>
  <si>
    <t>1_femur_Area(Pxls)</t>
    <phoneticPr fontId="18" type="noConversion"/>
  </si>
  <si>
    <t>1_thigh_Total Count</t>
    <phoneticPr fontId="18" type="noConversion"/>
  </si>
  <si>
    <t>1_thigh_Avg. Count</t>
    <phoneticPr fontId="18" type="noConversion"/>
  </si>
  <si>
    <t>1_thigh_Std Dev</t>
    <phoneticPr fontId="18" type="noConversion"/>
  </si>
  <si>
    <t>1_thigh_Area(Pxls)</t>
    <phoneticPr fontId="18" type="noConversion"/>
  </si>
  <si>
    <t>2_femur_Total Count</t>
    <phoneticPr fontId="18" type="noConversion"/>
  </si>
  <si>
    <t>2_femur_Avg. Count</t>
    <phoneticPr fontId="18" type="noConversion"/>
  </si>
  <si>
    <t>2_femur_Std Dev</t>
    <phoneticPr fontId="18" type="noConversion"/>
  </si>
  <si>
    <t>2_femur_Area(Pxls)</t>
    <phoneticPr fontId="18" type="noConversion"/>
  </si>
  <si>
    <t>2_thigh_Total Count</t>
    <phoneticPr fontId="18" type="noConversion"/>
  </si>
  <si>
    <t>2_thigh_Avg. Count</t>
    <phoneticPr fontId="18" type="noConversion"/>
  </si>
  <si>
    <t>2_thigh_Std Dev</t>
    <phoneticPr fontId="18" type="noConversion"/>
  </si>
  <si>
    <t>2_thigh_Area(Pxls)</t>
    <phoneticPr fontId="18" type="noConversion"/>
  </si>
  <si>
    <t>촬영시간_1</t>
    <phoneticPr fontId="18" type="noConversion"/>
  </si>
  <si>
    <t>촬영시간_2</t>
    <phoneticPr fontId="18" type="noConversion"/>
  </si>
  <si>
    <t>1159947</t>
  </si>
  <si>
    <t>문경옥</t>
  </si>
  <si>
    <t>F</t>
  </si>
  <si>
    <t>Bone Scan</t>
  </si>
  <si>
    <t>Infi</t>
    <phoneticPr fontId="18" type="noConversion"/>
  </si>
  <si>
    <t>DICOM_export_flag</t>
    <phoneticPr fontId="18" type="noConversion"/>
  </si>
  <si>
    <t>Difference_1</t>
    <phoneticPr fontId="18" type="noConversion"/>
  </si>
  <si>
    <t>Difference_2</t>
    <phoneticPr fontId="18" type="noConversion"/>
  </si>
  <si>
    <t>2021144</t>
  </si>
  <si>
    <t>김재춘</t>
  </si>
  <si>
    <t>2484213</t>
  </si>
  <si>
    <t>박미란</t>
  </si>
  <si>
    <t>NMCT670</t>
    <phoneticPr fontId="18" type="noConversion"/>
  </si>
  <si>
    <t>Sym</t>
    <phoneticPr fontId="18" type="noConversion"/>
  </si>
  <si>
    <t>2013870</t>
  </si>
  <si>
    <t>나해민</t>
  </si>
  <si>
    <t>Infi</t>
    <phoneticPr fontId="18" type="noConversion"/>
  </si>
  <si>
    <t>0642908</t>
  </si>
  <si>
    <t>김영숙</t>
  </si>
  <si>
    <t>NMCT670</t>
    <phoneticPr fontId="18" type="noConversion"/>
  </si>
  <si>
    <t>1704001</t>
  </si>
  <si>
    <t>양은주</t>
  </si>
  <si>
    <t>Sym</t>
    <phoneticPr fontId="18" type="noConversion"/>
  </si>
  <si>
    <t>2307699</t>
  </si>
  <si>
    <t>홍의표</t>
  </si>
  <si>
    <t>M</t>
  </si>
  <si>
    <t>NM830</t>
    <phoneticPr fontId="18" type="noConversion"/>
  </si>
  <si>
    <t>0718615</t>
  </si>
  <si>
    <t>표경자</t>
  </si>
  <si>
    <t>Infi</t>
    <phoneticPr fontId="18" type="noConversion"/>
  </si>
  <si>
    <t>0028159</t>
    <phoneticPr fontId="18" type="noConversion"/>
  </si>
  <si>
    <t>김분옥</t>
    <phoneticPr fontId="18" type="noConversion"/>
  </si>
  <si>
    <t>F</t>
    <phoneticPr fontId="18" type="noConversion"/>
  </si>
  <si>
    <t>NMCT670</t>
  </si>
  <si>
    <t>1788322</t>
  </si>
  <si>
    <t>이영심</t>
  </si>
  <si>
    <t>Infi</t>
    <phoneticPr fontId="18" type="noConversion"/>
  </si>
  <si>
    <t>0120981</t>
  </si>
  <si>
    <t>유희숙</t>
  </si>
  <si>
    <t>NMCT670</t>
    <phoneticPr fontId="18" type="noConversion"/>
  </si>
  <si>
    <t>2305471</t>
  </si>
  <si>
    <t>이정숙</t>
  </si>
  <si>
    <t>NM830</t>
    <phoneticPr fontId="18" type="noConversion"/>
  </si>
  <si>
    <t>0106912</t>
  </si>
  <si>
    <t>안재순</t>
  </si>
  <si>
    <t>Sym</t>
    <phoneticPr fontId="18" type="noConversion"/>
  </si>
  <si>
    <t>2508426</t>
  </si>
  <si>
    <t>지승연</t>
  </si>
  <si>
    <t>NM830</t>
    <phoneticPr fontId="18" type="noConversion"/>
  </si>
  <si>
    <t>2570120</t>
  </si>
  <si>
    <t>정문주</t>
  </si>
  <si>
    <t>NMCT670</t>
    <phoneticPr fontId="18" type="noConversion"/>
  </si>
  <si>
    <t>2574240</t>
  </si>
  <si>
    <t>오연주</t>
  </si>
  <si>
    <t>NMCT670</t>
    <phoneticPr fontId="18" type="noConversion"/>
  </si>
  <si>
    <t>0901226</t>
  </si>
  <si>
    <t>조한걸</t>
  </si>
  <si>
    <t>2167201</t>
  </si>
  <si>
    <t>박선광</t>
  </si>
  <si>
    <t>2030596</t>
  </si>
  <si>
    <t>손범윤</t>
  </si>
  <si>
    <t>0155134</t>
  </si>
  <si>
    <t>김진희</t>
  </si>
  <si>
    <t>2574995</t>
  </si>
  <si>
    <t>김현아</t>
  </si>
  <si>
    <t>Infi</t>
    <phoneticPr fontId="18" type="noConversion"/>
  </si>
  <si>
    <t>1600331</t>
  </si>
  <si>
    <t>이병호</t>
  </si>
  <si>
    <t>0527389</t>
  </si>
  <si>
    <t>송의용</t>
  </si>
  <si>
    <t>2245889</t>
  </si>
  <si>
    <t>김정순</t>
  </si>
  <si>
    <t>2549541</t>
  </si>
  <si>
    <t>석현숙</t>
  </si>
  <si>
    <t>7100854</t>
  </si>
  <si>
    <t>윤혜숙</t>
  </si>
  <si>
    <t>1036250</t>
  </si>
  <si>
    <t>윤철영</t>
  </si>
  <si>
    <t>2248941</t>
  </si>
  <si>
    <t>박계덕</t>
  </si>
  <si>
    <t>2433505</t>
  </si>
  <si>
    <t>주향선</t>
  </si>
  <si>
    <t>1_F_to_T_ratio</t>
    <phoneticPr fontId="18" type="noConversion"/>
  </si>
  <si>
    <t>2_F_to_T_ratio</t>
    <phoneticPr fontId="18" type="noConversion"/>
  </si>
  <si>
    <t>1826093</t>
  </si>
  <si>
    <t>강서영</t>
  </si>
  <si>
    <t>1331835</t>
  </si>
  <si>
    <t>유영순</t>
  </si>
  <si>
    <t>2543746</t>
  </si>
  <si>
    <t>지다현</t>
  </si>
  <si>
    <t>2280235</t>
  </si>
  <si>
    <t>양국화</t>
  </si>
  <si>
    <t>0901248</t>
  </si>
  <si>
    <t>곽희성</t>
  </si>
  <si>
    <t>1450758</t>
  </si>
  <si>
    <t>류혜정</t>
  </si>
  <si>
    <t>2535005</t>
  </si>
  <si>
    <t>김용숙</t>
  </si>
  <si>
    <t>1052159</t>
  </si>
  <si>
    <t>신우람</t>
  </si>
  <si>
    <t>0701276</t>
  </si>
  <si>
    <t>이상을</t>
  </si>
  <si>
    <t>0502373</t>
  </si>
  <si>
    <t>서정숙</t>
  </si>
  <si>
    <t>2059422</t>
  </si>
  <si>
    <t>조점례</t>
  </si>
  <si>
    <t>2413251</t>
  </si>
  <si>
    <t>조윤희</t>
  </si>
  <si>
    <t>0289667</t>
  </si>
  <si>
    <t>황수옥</t>
  </si>
  <si>
    <t>0624172</t>
  </si>
  <si>
    <t>김민영</t>
  </si>
  <si>
    <t>2039689</t>
  </si>
  <si>
    <t>조부산</t>
  </si>
  <si>
    <t>2517643</t>
  </si>
  <si>
    <t>장소라</t>
  </si>
  <si>
    <t>1131781</t>
  </si>
  <si>
    <t>김인숙</t>
  </si>
  <si>
    <t>2188966</t>
  </si>
  <si>
    <t>최춘성</t>
  </si>
  <si>
    <t>2551017</t>
  </si>
  <si>
    <t>엄광휘</t>
  </si>
  <si>
    <t>2423461</t>
  </si>
  <si>
    <t>유광득</t>
  </si>
  <si>
    <t>0960970</t>
  </si>
  <si>
    <t>장경희</t>
  </si>
  <si>
    <t>1062390</t>
  </si>
  <si>
    <t>박애화</t>
  </si>
  <si>
    <t>0522991</t>
  </si>
  <si>
    <t>김경옥</t>
  </si>
  <si>
    <t>0583134</t>
  </si>
  <si>
    <t>오희순</t>
  </si>
  <si>
    <t>2569495</t>
  </si>
  <si>
    <t>한병례</t>
  </si>
  <si>
    <t>2044588</t>
  </si>
  <si>
    <t>임애경</t>
  </si>
  <si>
    <t>0369680</t>
  </si>
  <si>
    <t>이후재</t>
  </si>
  <si>
    <t>2442538</t>
  </si>
  <si>
    <t>김국천</t>
  </si>
  <si>
    <t>2550010</t>
  </si>
  <si>
    <t>장지연</t>
  </si>
  <si>
    <t>0976139</t>
  </si>
  <si>
    <t>전순진</t>
  </si>
  <si>
    <t>1205681</t>
  </si>
  <si>
    <t>김태은</t>
  </si>
  <si>
    <t>2145940</t>
  </si>
  <si>
    <t>전옥정</t>
  </si>
  <si>
    <t>2438063</t>
  </si>
  <si>
    <t>서은희</t>
  </si>
  <si>
    <t>0132617</t>
  </si>
  <si>
    <t>이순호</t>
  </si>
  <si>
    <t>2303355</t>
  </si>
  <si>
    <t>김정애</t>
  </si>
  <si>
    <t>2293211</t>
  </si>
  <si>
    <t>조명숙</t>
  </si>
  <si>
    <t>0427441</t>
  </si>
  <si>
    <t>채옥희</t>
  </si>
  <si>
    <t>0955400</t>
  </si>
  <si>
    <t>김홍덕</t>
  </si>
  <si>
    <t>1414600</t>
  </si>
  <si>
    <t>전명희</t>
  </si>
  <si>
    <t>0043263</t>
  </si>
  <si>
    <t>오수연</t>
  </si>
  <si>
    <t>2544978</t>
  </si>
  <si>
    <t>최연희</t>
  </si>
  <si>
    <t>2544900</t>
  </si>
  <si>
    <t>장미영</t>
  </si>
  <si>
    <t>2579901</t>
  </si>
  <si>
    <t>김희옥</t>
  </si>
  <si>
    <t>2366256</t>
  </si>
  <si>
    <t>김강명</t>
  </si>
  <si>
    <t>2296465</t>
  </si>
  <si>
    <t>김용복</t>
  </si>
  <si>
    <t>1356661</t>
  </si>
  <si>
    <t>박남광</t>
  </si>
  <si>
    <t>2561779</t>
  </si>
  <si>
    <t>강선미</t>
  </si>
  <si>
    <t>0839386</t>
  </si>
  <si>
    <t>김종선</t>
  </si>
  <si>
    <t>1784124</t>
  </si>
  <si>
    <t>조삼성</t>
  </si>
  <si>
    <t>2080447</t>
  </si>
  <si>
    <t>백미원</t>
  </si>
  <si>
    <t>0524645</t>
  </si>
  <si>
    <t>강태원</t>
  </si>
  <si>
    <t>1799543</t>
  </si>
  <si>
    <t>배휘자</t>
  </si>
  <si>
    <t>2623937</t>
  </si>
  <si>
    <t>문선란</t>
  </si>
  <si>
    <t>1962151</t>
  </si>
  <si>
    <t>김혜영</t>
  </si>
  <si>
    <t>1859190</t>
  </si>
  <si>
    <t>2511600</t>
  </si>
  <si>
    <t>장수빈</t>
  </si>
  <si>
    <t>0867621</t>
  </si>
  <si>
    <t>김향미</t>
  </si>
  <si>
    <t>2124016</t>
  </si>
  <si>
    <t>안복훈</t>
  </si>
  <si>
    <t>0274479</t>
  </si>
  <si>
    <t>정경자</t>
  </si>
  <si>
    <t>1366779</t>
  </si>
  <si>
    <t>장종희</t>
  </si>
  <si>
    <t>2394145</t>
  </si>
  <si>
    <t>정재춘</t>
  </si>
  <si>
    <t>1184971</t>
  </si>
  <si>
    <t>최완용</t>
  </si>
  <si>
    <t>2517224</t>
  </si>
  <si>
    <t>정용수</t>
  </si>
  <si>
    <t>7228823</t>
  </si>
  <si>
    <t>김광미</t>
  </si>
  <si>
    <t>2485445</t>
  </si>
  <si>
    <t>오복남</t>
  </si>
  <si>
    <t>2470669</t>
  </si>
  <si>
    <t>이경순</t>
  </si>
  <si>
    <t>1697335</t>
  </si>
  <si>
    <t>한원희</t>
  </si>
  <si>
    <t>2553345</t>
  </si>
  <si>
    <t>이상선</t>
  </si>
  <si>
    <t>2146833</t>
  </si>
  <si>
    <t>김복경</t>
  </si>
  <si>
    <t>1004358</t>
  </si>
  <si>
    <t>김옥분</t>
  </si>
  <si>
    <t>1283728</t>
  </si>
  <si>
    <t>김화숙</t>
  </si>
  <si>
    <t>0769914</t>
  </si>
  <si>
    <t>김상남</t>
  </si>
  <si>
    <t>0984021</t>
  </si>
  <si>
    <t>김나영</t>
  </si>
  <si>
    <t>0891522</t>
  </si>
  <si>
    <t>최선금</t>
  </si>
  <si>
    <t>2579280</t>
  </si>
  <si>
    <t>강미애</t>
  </si>
  <si>
    <t>2589644</t>
  </si>
  <si>
    <t>문인선</t>
  </si>
  <si>
    <t>2644255</t>
  </si>
  <si>
    <t>서정태</t>
  </si>
  <si>
    <t>1696190</t>
  </si>
  <si>
    <t>강지우</t>
  </si>
  <si>
    <t>2112450</t>
  </si>
  <si>
    <t>김미진</t>
  </si>
  <si>
    <t>2002261</t>
  </si>
  <si>
    <t>김영미</t>
  </si>
  <si>
    <t>2184646</t>
  </si>
  <si>
    <t>김설화</t>
  </si>
  <si>
    <t>0276391</t>
  </si>
  <si>
    <t>표미선</t>
  </si>
  <si>
    <t>2602265</t>
  </si>
  <si>
    <t>정화진</t>
  </si>
  <si>
    <t>2643754</t>
  </si>
  <si>
    <t>김진수</t>
  </si>
  <si>
    <t>Bone (Ratio)</t>
  </si>
  <si>
    <t>0822089</t>
  </si>
  <si>
    <t>한웅수</t>
  </si>
  <si>
    <t>2651027</t>
  </si>
  <si>
    <t>박익준</t>
  </si>
  <si>
    <t>1654805</t>
  </si>
  <si>
    <t>김미란</t>
  </si>
  <si>
    <t>0325266</t>
  </si>
  <si>
    <t>김효정</t>
  </si>
  <si>
    <t>7286778</t>
  </si>
  <si>
    <t>김종정</t>
  </si>
  <si>
    <t>2274082</t>
  </si>
  <si>
    <t>신창례</t>
  </si>
  <si>
    <t>1005252</t>
  </si>
  <si>
    <t>김인순</t>
  </si>
  <si>
    <t>1962318</t>
  </si>
  <si>
    <t>김영두</t>
  </si>
  <si>
    <t>2469765</t>
  </si>
  <si>
    <t>정은주</t>
  </si>
  <si>
    <t>2404104</t>
  </si>
  <si>
    <t>김옥자</t>
  </si>
  <si>
    <t>1986116</t>
  </si>
  <si>
    <t>홍성창</t>
  </si>
  <si>
    <t>0937749</t>
  </si>
  <si>
    <t>오혜영</t>
  </si>
  <si>
    <t>1746103</t>
  </si>
  <si>
    <t>정기선</t>
  </si>
  <si>
    <t>2358149</t>
  </si>
  <si>
    <t>권정웅</t>
  </si>
  <si>
    <t>0439014</t>
  </si>
  <si>
    <t>노재경</t>
  </si>
  <si>
    <t>2469397</t>
  </si>
  <si>
    <t>권홍조</t>
  </si>
  <si>
    <t>2496016</t>
  </si>
  <si>
    <t>이상훈</t>
  </si>
  <si>
    <t>0388532</t>
  </si>
  <si>
    <t>이점연</t>
  </si>
  <si>
    <t>2499071</t>
  </si>
  <si>
    <t>최미화</t>
  </si>
  <si>
    <t>1246828</t>
  </si>
  <si>
    <t>이규식</t>
  </si>
  <si>
    <t>0926882</t>
  </si>
  <si>
    <t>임양희</t>
  </si>
  <si>
    <t>2660977</t>
  </si>
  <si>
    <t>김종호</t>
  </si>
  <si>
    <t>2585540</t>
  </si>
  <si>
    <t>김선금</t>
  </si>
  <si>
    <t>2428142</t>
  </si>
  <si>
    <t>박소현</t>
  </si>
  <si>
    <t>2305227</t>
  </si>
  <si>
    <t>윤재선</t>
  </si>
  <si>
    <t>Increment(%)</t>
    <phoneticPr fontId="18" type="noConversion"/>
  </si>
  <si>
    <t>1156089</t>
  </si>
  <si>
    <t>송선자</t>
  </si>
  <si>
    <t>2624004</t>
  </si>
  <si>
    <t>김명옥</t>
  </si>
  <si>
    <t>2423724</t>
  </si>
  <si>
    <t>최미애</t>
  </si>
  <si>
    <t>1957565</t>
  </si>
  <si>
    <t>김재순</t>
  </si>
  <si>
    <t>1110782</t>
  </si>
  <si>
    <t>노순화</t>
  </si>
  <si>
    <t>0948443</t>
  </si>
  <si>
    <t>황유정</t>
  </si>
  <si>
    <t>0930764</t>
  </si>
  <si>
    <t>김옥경</t>
  </si>
  <si>
    <t>2070121</t>
  </si>
  <si>
    <t>허은정</t>
  </si>
  <si>
    <t>2505937</t>
  </si>
  <si>
    <t>정경숙</t>
  </si>
  <si>
    <t>2584032</t>
  </si>
  <si>
    <t>성주연</t>
  </si>
  <si>
    <t>0629080</t>
  </si>
  <si>
    <t>이성애</t>
  </si>
  <si>
    <t>2302541</t>
  </si>
  <si>
    <t>유은경</t>
  </si>
  <si>
    <t>2393998</t>
  </si>
  <si>
    <t>이금화</t>
  </si>
  <si>
    <t>1505127</t>
  </si>
  <si>
    <t>김해순</t>
  </si>
  <si>
    <t>1635080</t>
  </si>
  <si>
    <t>이태호</t>
  </si>
  <si>
    <t>2316250</t>
  </si>
  <si>
    <t>박영숙</t>
  </si>
  <si>
    <t>봉성민</t>
  </si>
  <si>
    <t>0733386</t>
  </si>
  <si>
    <t>방관영</t>
  </si>
  <si>
    <t>2323397</t>
  </si>
  <si>
    <t>이은하</t>
  </si>
  <si>
    <t>0340301</t>
  </si>
  <si>
    <t>정영란</t>
  </si>
  <si>
    <t>0869952</t>
  </si>
  <si>
    <t>손옥란</t>
  </si>
  <si>
    <t>1078994</t>
  </si>
  <si>
    <t>최영애</t>
  </si>
  <si>
    <t>0426326</t>
  </si>
  <si>
    <t>이상돈</t>
  </si>
  <si>
    <t>2619889</t>
  </si>
  <si>
    <t>이성자</t>
  </si>
  <si>
    <t>2612906</t>
  </si>
  <si>
    <t>안계숙</t>
  </si>
  <si>
    <t>2632910</t>
  </si>
  <si>
    <t>김경숙</t>
  </si>
  <si>
    <t>2131596</t>
  </si>
  <si>
    <t>서혜정</t>
  </si>
  <si>
    <t>1655297</t>
  </si>
  <si>
    <t>남궁숙</t>
  </si>
  <si>
    <t>0769827</t>
  </si>
  <si>
    <t>김순례</t>
  </si>
  <si>
    <t>0473123</t>
  </si>
  <si>
    <t>황미애</t>
  </si>
  <si>
    <t>2060203</t>
  </si>
  <si>
    <t>박인숙</t>
  </si>
  <si>
    <t>2350320</t>
  </si>
  <si>
    <t>안성혁</t>
  </si>
  <si>
    <t>7294120</t>
  </si>
  <si>
    <t>윤화선</t>
  </si>
  <si>
    <t>1252407</t>
  </si>
  <si>
    <t>김영희</t>
  </si>
  <si>
    <t>1722916</t>
  </si>
  <si>
    <t>김명순</t>
  </si>
  <si>
    <t>2425184</t>
  </si>
  <si>
    <t>노선식</t>
  </si>
  <si>
    <t>0149215</t>
  </si>
  <si>
    <t>이완식</t>
  </si>
  <si>
    <t>2437700</t>
  </si>
  <si>
    <t>신은영</t>
  </si>
  <si>
    <t>2631566</t>
  </si>
  <si>
    <t>김정숙</t>
  </si>
  <si>
    <t>7289386</t>
  </si>
  <si>
    <t>윤미순</t>
  </si>
  <si>
    <t>2338868</t>
  </si>
  <si>
    <t>박은주</t>
  </si>
  <si>
    <t>0454251</t>
  </si>
  <si>
    <t>이선규</t>
  </si>
  <si>
    <t>1753292</t>
  </si>
  <si>
    <t>김산</t>
  </si>
  <si>
    <t>0719518</t>
  </si>
  <si>
    <t>장선영</t>
  </si>
  <si>
    <t>2294198</t>
  </si>
  <si>
    <t>이미숙</t>
  </si>
  <si>
    <t>category(n,s,h)</t>
    <phoneticPr fontId="18" type="noConversion"/>
  </si>
  <si>
    <t>n</t>
    <phoneticPr fontId="18" type="noConversion"/>
  </si>
  <si>
    <t>s</t>
    <phoneticPr fontId="18" type="noConversion"/>
  </si>
  <si>
    <t>h</t>
    <phoneticPr fontId="18" type="noConversion"/>
  </si>
  <si>
    <t>s</t>
    <phoneticPr fontId="18" type="noConversion"/>
  </si>
  <si>
    <t>n</t>
    <phoneticPr fontId="18" type="noConversion"/>
  </si>
  <si>
    <t>h</t>
    <phoneticPr fontId="18" type="noConversion"/>
  </si>
  <si>
    <t>h(지인)</t>
    <phoneticPr fontId="18" type="noConversion"/>
  </si>
  <si>
    <t>0824267</t>
  </si>
  <si>
    <t>박은자</t>
  </si>
  <si>
    <t>2412801</t>
  </si>
  <si>
    <t>이진영</t>
  </si>
  <si>
    <t>0879620</t>
  </si>
  <si>
    <t>은영미</t>
  </si>
  <si>
    <t>1012450</t>
  </si>
  <si>
    <t>전서해</t>
  </si>
  <si>
    <t>2623233</t>
  </si>
  <si>
    <t>김명희</t>
  </si>
  <si>
    <t>0353775</t>
  </si>
  <si>
    <t>정경란</t>
  </si>
  <si>
    <t>0350783</t>
  </si>
  <si>
    <t>최종철</t>
  </si>
  <si>
    <t>0908239</t>
  </si>
  <si>
    <t>최복심</t>
  </si>
  <si>
    <t>2192795</t>
  </si>
  <si>
    <t>문준식</t>
  </si>
  <si>
    <t>2553742</t>
  </si>
  <si>
    <t>노해옥</t>
  </si>
  <si>
    <t>7021319</t>
  </si>
  <si>
    <t>장태희</t>
  </si>
  <si>
    <t>2301366</t>
  </si>
  <si>
    <t>윤석희</t>
  </si>
  <si>
    <t>1752809</t>
  </si>
  <si>
    <t>추효자</t>
  </si>
  <si>
    <t>2361964</t>
  </si>
  <si>
    <t>고정희</t>
  </si>
  <si>
    <t>0925404</t>
  </si>
  <si>
    <t>윤주은</t>
  </si>
  <si>
    <t>0694260</t>
  </si>
  <si>
    <t>장경화</t>
  </si>
  <si>
    <t>2395049</t>
  </si>
  <si>
    <t>전미야</t>
  </si>
  <si>
    <t>2238228</t>
  </si>
  <si>
    <t>심상선</t>
  </si>
  <si>
    <t>0489157</t>
  </si>
  <si>
    <t>전복례</t>
  </si>
  <si>
    <t>0498633</t>
  </si>
  <si>
    <t>김남현</t>
  </si>
  <si>
    <t>0494283</t>
  </si>
  <si>
    <t>오미영</t>
  </si>
  <si>
    <t>2355910</t>
  </si>
  <si>
    <t>김다띠아나</t>
  </si>
  <si>
    <t>1736085</t>
  </si>
  <si>
    <t>김영화</t>
  </si>
  <si>
    <t>1770896</t>
  </si>
  <si>
    <t>김홍이</t>
  </si>
  <si>
    <t>0708139</t>
  </si>
  <si>
    <t>조의경</t>
  </si>
  <si>
    <t>n</t>
    <phoneticPr fontId="18" type="noConversion"/>
  </si>
  <si>
    <t>s</t>
    <phoneticPr fontId="18" type="noConversion"/>
  </si>
  <si>
    <t>h</t>
    <phoneticPr fontId="18" type="noConversion"/>
  </si>
  <si>
    <t>정미숙</t>
    <phoneticPr fontId="18" type="noConversion"/>
  </si>
  <si>
    <t>2626562</t>
    <phoneticPr fontId="18" type="noConversion"/>
  </si>
  <si>
    <t>0338740</t>
  </si>
  <si>
    <t>방창기</t>
  </si>
  <si>
    <t>2448716</t>
  </si>
  <si>
    <t>김건영</t>
  </si>
  <si>
    <t>2569450</t>
  </si>
  <si>
    <t>이재춘</t>
  </si>
  <si>
    <t>1153104</t>
  </si>
  <si>
    <t>권익상</t>
  </si>
  <si>
    <t>0071407</t>
  </si>
  <si>
    <t>박봉근</t>
  </si>
  <si>
    <t>1277203</t>
  </si>
  <si>
    <t>윤옥자</t>
  </si>
  <si>
    <t>2576373</t>
  </si>
  <si>
    <t>우현주</t>
  </si>
  <si>
    <t>2450056</t>
  </si>
  <si>
    <t>김용호</t>
  </si>
  <si>
    <t>1336839</t>
  </si>
  <si>
    <t>박계화</t>
  </si>
  <si>
    <t>0399445</t>
  </si>
  <si>
    <t>장현아</t>
  </si>
  <si>
    <t>2498170</t>
  </si>
  <si>
    <t>최경아</t>
  </si>
  <si>
    <t>7120079</t>
  </si>
  <si>
    <t>강명순</t>
  </si>
  <si>
    <t>1433898</t>
  </si>
  <si>
    <t>오광숙</t>
  </si>
  <si>
    <t>1555044</t>
  </si>
  <si>
    <t>최금례</t>
  </si>
  <si>
    <t>2555929</t>
  </si>
  <si>
    <t>신미라</t>
  </si>
  <si>
    <t>2644207</t>
  </si>
  <si>
    <t>김순애</t>
  </si>
  <si>
    <t>2200743</t>
  </si>
  <si>
    <t>박명희</t>
  </si>
  <si>
    <t>2449085</t>
  </si>
  <si>
    <t>백혜경</t>
  </si>
  <si>
    <t>1421337</t>
  </si>
  <si>
    <t>유은미</t>
  </si>
  <si>
    <t>2697354</t>
  </si>
  <si>
    <t>박재홍</t>
  </si>
  <si>
    <t>2440122</t>
  </si>
  <si>
    <t>정민화</t>
  </si>
  <si>
    <t>2012333</t>
  </si>
  <si>
    <t>이은희</t>
  </si>
  <si>
    <t>2406034</t>
  </si>
  <si>
    <t>이도은</t>
  </si>
  <si>
    <t>0524040</t>
  </si>
  <si>
    <t>전영순</t>
  </si>
  <si>
    <t>s</t>
    <phoneticPr fontId="18" type="noConversion"/>
  </si>
  <si>
    <t>h</t>
    <phoneticPr fontId="18" type="noConversion"/>
  </si>
  <si>
    <t>n</t>
    <phoneticPr fontId="18" type="noConversion"/>
  </si>
  <si>
    <t>1833179</t>
  </si>
  <si>
    <t>김미경</t>
  </si>
  <si>
    <t>0077672</t>
  </si>
  <si>
    <t>김미숙</t>
  </si>
  <si>
    <t>2235267</t>
    <phoneticPr fontId="18" type="noConversion"/>
  </si>
  <si>
    <t>박민수</t>
  </si>
  <si>
    <t>2656864</t>
  </si>
  <si>
    <t>윤휘</t>
  </si>
  <si>
    <t>0933864</t>
  </si>
  <si>
    <t>서정만</t>
  </si>
  <si>
    <t>2700958</t>
  </si>
  <si>
    <t>권애경</t>
  </si>
  <si>
    <t>0506337</t>
  </si>
  <si>
    <t>김은미</t>
  </si>
  <si>
    <t>1207596</t>
  </si>
  <si>
    <t>김은옥</t>
  </si>
  <si>
    <t>2636175</t>
  </si>
  <si>
    <t>이승원</t>
  </si>
  <si>
    <t>2697375</t>
  </si>
  <si>
    <t>김병화</t>
  </si>
  <si>
    <t>2006482</t>
  </si>
  <si>
    <t>김은자</t>
  </si>
  <si>
    <t>2079989</t>
  </si>
  <si>
    <t>최동희</t>
  </si>
  <si>
    <t>2075588</t>
  </si>
  <si>
    <t>김순옥</t>
  </si>
  <si>
    <t>2540863</t>
  </si>
  <si>
    <t>심덕규</t>
  </si>
  <si>
    <t>2344711</t>
  </si>
  <si>
    <t>박현목</t>
  </si>
  <si>
    <t>1141711</t>
  </si>
  <si>
    <t>한백희</t>
  </si>
  <si>
    <t>1299803</t>
  </si>
  <si>
    <t>장혜자</t>
  </si>
  <si>
    <t>2288429</t>
  </si>
  <si>
    <t>민혜란</t>
  </si>
  <si>
    <t>1663663</t>
  </si>
  <si>
    <t>김양배</t>
  </si>
  <si>
    <t>2473262</t>
  </si>
  <si>
    <t>2656726</t>
  </si>
  <si>
    <t>강래연</t>
  </si>
  <si>
    <t>1687898</t>
  </si>
  <si>
    <t>조순진</t>
  </si>
  <si>
    <t>2218495</t>
  </si>
  <si>
    <t>강희경</t>
  </si>
  <si>
    <t>2574656</t>
  </si>
  <si>
    <t>김샛별</t>
  </si>
  <si>
    <t>2662708</t>
  </si>
  <si>
    <t>윤영란</t>
  </si>
  <si>
    <t>n</t>
    <phoneticPr fontId="18" type="noConversion"/>
  </si>
  <si>
    <t>s</t>
    <phoneticPr fontId="18" type="noConversion"/>
  </si>
  <si>
    <t>h</t>
    <phoneticPr fontId="18" type="noConversion"/>
  </si>
  <si>
    <t>2645090</t>
  </si>
  <si>
    <t>송애란</t>
  </si>
  <si>
    <t>0773529</t>
  </si>
  <si>
    <t>이영옥</t>
  </si>
  <si>
    <t>1810319</t>
  </si>
  <si>
    <t>오경희</t>
  </si>
  <si>
    <t>0133457</t>
  </si>
  <si>
    <t>이고은</t>
  </si>
  <si>
    <t>1790503</t>
  </si>
  <si>
    <t>박정남</t>
  </si>
  <si>
    <t>1851381</t>
  </si>
  <si>
    <t>1998413</t>
  </si>
  <si>
    <t>신해옥</t>
  </si>
  <si>
    <t>1780663</t>
  </si>
  <si>
    <t>최은영</t>
  </si>
  <si>
    <t>1024606</t>
  </si>
  <si>
    <t>김안순</t>
  </si>
  <si>
    <t>2400759</t>
  </si>
  <si>
    <t>석준자</t>
  </si>
  <si>
    <t>1448993</t>
  </si>
  <si>
    <t>배윤희</t>
  </si>
  <si>
    <t>2004797</t>
  </si>
  <si>
    <t>김경심</t>
  </si>
  <si>
    <t>1407363</t>
  </si>
  <si>
    <t>이은영</t>
  </si>
  <si>
    <t>1048959</t>
  </si>
  <si>
    <t>유수경</t>
  </si>
  <si>
    <t>2237562</t>
  </si>
  <si>
    <t>김연화</t>
  </si>
  <si>
    <t>2482026</t>
  </si>
  <si>
    <t>이복근</t>
  </si>
  <si>
    <t>2464029</t>
  </si>
  <si>
    <t>최지원</t>
  </si>
  <si>
    <t>2546466</t>
  </si>
  <si>
    <t>장은현</t>
  </si>
  <si>
    <t>2718845</t>
  </si>
  <si>
    <t>황운섭</t>
  </si>
  <si>
    <t>2456080</t>
  </si>
  <si>
    <t>임금숙</t>
  </si>
  <si>
    <t>7296459</t>
  </si>
  <si>
    <t>강정희</t>
  </si>
  <si>
    <t>2238768</t>
  </si>
  <si>
    <t>김봉희</t>
  </si>
  <si>
    <t>2543013</t>
  </si>
  <si>
    <t>유경자</t>
  </si>
  <si>
    <t>0352689</t>
  </si>
  <si>
    <t>정운근</t>
  </si>
  <si>
    <t>0647656</t>
  </si>
  <si>
    <t>권미진</t>
  </si>
  <si>
    <t>7278167</t>
  </si>
  <si>
    <t>김귀용</t>
  </si>
  <si>
    <t>1735747</t>
  </si>
  <si>
    <t>홍지연</t>
  </si>
  <si>
    <t>2409862</t>
  </si>
  <si>
    <t>윤정임</t>
  </si>
  <si>
    <t>1922421</t>
  </si>
  <si>
    <t>임현진</t>
  </si>
  <si>
    <t>2604137</t>
  </si>
  <si>
    <t>조관희</t>
  </si>
  <si>
    <t>n</t>
    <phoneticPr fontId="18" type="noConversion"/>
  </si>
  <si>
    <t>s</t>
    <phoneticPr fontId="18" type="noConversion"/>
  </si>
  <si>
    <t>h</t>
    <phoneticPr fontId="18" type="noConversion"/>
  </si>
  <si>
    <t>1842418</t>
  </si>
  <si>
    <t>백선우</t>
  </si>
  <si>
    <t>2374717</t>
  </si>
  <si>
    <t>진미혜</t>
  </si>
  <si>
    <t>0454008</t>
  </si>
  <si>
    <t>곽현미</t>
  </si>
  <si>
    <t>7140766</t>
  </si>
  <si>
    <t>박다솜</t>
  </si>
  <si>
    <t>2666006</t>
  </si>
  <si>
    <t>김희정</t>
  </si>
  <si>
    <t>1240674</t>
  </si>
  <si>
    <t>장미자</t>
  </si>
  <si>
    <t>1638184</t>
  </si>
  <si>
    <t>이은주</t>
  </si>
  <si>
    <t>1192197</t>
  </si>
  <si>
    <t>2428272</t>
  </si>
  <si>
    <t>안정순</t>
  </si>
  <si>
    <t>1184345</t>
  </si>
  <si>
    <t>김경순</t>
  </si>
  <si>
    <t>2604782</t>
  </si>
  <si>
    <t>민순기</t>
  </si>
  <si>
    <t>1925793</t>
  </si>
  <si>
    <t>김보라</t>
  </si>
  <si>
    <t>1115693</t>
  </si>
  <si>
    <t>박미경</t>
  </si>
  <si>
    <t>2298236</t>
  </si>
  <si>
    <t>2620403</t>
  </si>
  <si>
    <t>윤소영</t>
  </si>
  <si>
    <t>2688243</t>
  </si>
  <si>
    <t>박선호</t>
  </si>
  <si>
    <t>s</t>
    <phoneticPr fontId="18" type="noConversion"/>
  </si>
  <si>
    <t>n</t>
    <phoneticPr fontId="18" type="noConversion"/>
  </si>
  <si>
    <t>2662402</t>
    <phoneticPr fontId="18" type="noConversion"/>
  </si>
  <si>
    <t>최혜진</t>
  </si>
  <si>
    <t>2512264</t>
  </si>
  <si>
    <t>최창용</t>
  </si>
  <si>
    <t>2452964</t>
  </si>
  <si>
    <t>김선하</t>
  </si>
  <si>
    <t>0871792</t>
  </si>
  <si>
    <t>홍정욱</t>
  </si>
  <si>
    <t>2628678</t>
  </si>
  <si>
    <t>최지예</t>
  </si>
  <si>
    <t>0632660</t>
  </si>
  <si>
    <t>이호영</t>
  </si>
  <si>
    <t>2125346</t>
  </si>
  <si>
    <t>주희</t>
  </si>
  <si>
    <t>2388165</t>
  </si>
  <si>
    <t>유은희</t>
  </si>
  <si>
    <t>2670775</t>
  </si>
  <si>
    <t>임지우</t>
  </si>
  <si>
    <t>2444412</t>
  </si>
  <si>
    <t>안상완</t>
  </si>
  <si>
    <t>2671321</t>
  </si>
  <si>
    <t>황혜정</t>
  </si>
  <si>
    <t>1808334</t>
  </si>
  <si>
    <t>0448592</t>
  </si>
  <si>
    <t>박종근</t>
  </si>
  <si>
    <t>1289766</t>
  </si>
  <si>
    <t>김복희</t>
  </si>
  <si>
    <t>2596960</t>
  </si>
  <si>
    <t>한혜경</t>
  </si>
  <si>
    <t>1313734</t>
    <phoneticPr fontId="18" type="noConversion"/>
  </si>
  <si>
    <t>0737884</t>
    <phoneticPr fontId="18" type="noConversion"/>
  </si>
  <si>
    <t>윤득노</t>
    <phoneticPr fontId="18" type="noConversion"/>
  </si>
  <si>
    <t>M</t>
    <phoneticPr fontId="18" type="noConversion"/>
  </si>
  <si>
    <t>7160221</t>
    <phoneticPr fontId="18" type="noConversion"/>
  </si>
  <si>
    <t>신영숙</t>
    <phoneticPr fontId="18" type="noConversion"/>
  </si>
  <si>
    <t>0070507</t>
    <phoneticPr fontId="18" type="noConversion"/>
  </si>
  <si>
    <t>강태윤</t>
  </si>
  <si>
    <t>n</t>
    <phoneticPr fontId="18" type="noConversion"/>
  </si>
  <si>
    <t>h</t>
    <phoneticPr fontId="18" type="noConversion"/>
  </si>
  <si>
    <t>s</t>
    <phoneticPr fontId="18" type="noConversion"/>
  </si>
  <si>
    <t>서성옥</t>
  </si>
  <si>
    <t>이정림</t>
  </si>
  <si>
    <t>여주영</t>
  </si>
  <si>
    <t>권상순</t>
  </si>
  <si>
    <t>김희승</t>
  </si>
  <si>
    <t>0129870</t>
    <phoneticPr fontId="18" type="noConversion"/>
  </si>
  <si>
    <t>강필구</t>
  </si>
  <si>
    <t>0330478</t>
    <phoneticPr fontId="18" type="noConversion"/>
  </si>
  <si>
    <t>전정희</t>
  </si>
  <si>
    <t>남기우</t>
  </si>
  <si>
    <t>손미영</t>
  </si>
  <si>
    <t>주연록</t>
  </si>
  <si>
    <t>라경옥</t>
  </si>
  <si>
    <t>박희진</t>
  </si>
  <si>
    <t>신성미</t>
  </si>
  <si>
    <t>장금수</t>
  </si>
  <si>
    <t>이종열</t>
  </si>
  <si>
    <t>조경아</t>
  </si>
  <si>
    <t>김정연</t>
  </si>
  <si>
    <t>정민수</t>
  </si>
  <si>
    <t>0890724</t>
    <phoneticPr fontId="18" type="noConversion"/>
  </si>
  <si>
    <t>이재경</t>
  </si>
  <si>
    <t>윤종임</t>
  </si>
  <si>
    <t>최미숙</t>
  </si>
  <si>
    <t>장은석</t>
  </si>
  <si>
    <t>최지혜</t>
  </si>
  <si>
    <t>s</t>
    <phoneticPr fontId="18" type="noConversion"/>
  </si>
  <si>
    <t>n</t>
    <phoneticPr fontId="18" type="noConversion"/>
  </si>
  <si>
    <t>h</t>
    <phoneticPr fontId="18" type="noConversion"/>
  </si>
  <si>
    <t>임병운</t>
  </si>
  <si>
    <t>김제선</t>
  </si>
  <si>
    <t>오현정</t>
  </si>
  <si>
    <t>노현정</t>
  </si>
  <si>
    <t>0172945</t>
    <phoneticPr fontId="18" type="noConversion"/>
  </si>
  <si>
    <t>이윤서</t>
  </si>
  <si>
    <t>이달화</t>
  </si>
  <si>
    <t>남정건</t>
  </si>
  <si>
    <t>이선정</t>
  </si>
  <si>
    <t>한은주</t>
  </si>
  <si>
    <t>0911471</t>
    <phoneticPr fontId="18" type="noConversion"/>
  </si>
  <si>
    <t>송은희</t>
  </si>
  <si>
    <t>김중섭</t>
  </si>
  <si>
    <t>0919266</t>
    <phoneticPr fontId="18" type="noConversion"/>
  </si>
  <si>
    <t>황연서</t>
  </si>
  <si>
    <t>0053916</t>
    <phoneticPr fontId="18" type="noConversion"/>
  </si>
  <si>
    <t>위선희</t>
  </si>
  <si>
    <t>0029513</t>
    <phoneticPr fontId="18" type="noConversion"/>
  </si>
  <si>
    <t>전혜경</t>
  </si>
  <si>
    <t>2665072</t>
  </si>
  <si>
    <t>박민애</t>
  </si>
  <si>
    <t>0915985</t>
    <phoneticPr fontId="18" type="noConversion"/>
  </si>
  <si>
    <t>민경혜</t>
  </si>
  <si>
    <t>s</t>
    <phoneticPr fontId="18" type="noConversion"/>
  </si>
  <si>
    <t>n</t>
    <phoneticPr fontId="18" type="noConversion"/>
  </si>
  <si>
    <t>h</t>
    <phoneticPr fontId="18" type="noConversion"/>
  </si>
  <si>
    <t>서태호</t>
  </si>
  <si>
    <t>한영섭</t>
  </si>
  <si>
    <t>박민주</t>
  </si>
  <si>
    <t>유선주</t>
  </si>
  <si>
    <t>0150580</t>
    <phoneticPr fontId="18" type="noConversion"/>
  </si>
  <si>
    <t>박진숙</t>
  </si>
  <si>
    <t>신혜영</t>
  </si>
  <si>
    <t>0949097</t>
    <phoneticPr fontId="18" type="noConversion"/>
  </si>
  <si>
    <t>이점식</t>
  </si>
  <si>
    <t>송은란</t>
  </si>
  <si>
    <t>0190002</t>
    <phoneticPr fontId="18" type="noConversion"/>
  </si>
  <si>
    <t>최난희</t>
  </si>
  <si>
    <t>김연옥</t>
  </si>
  <si>
    <t>서인희</t>
  </si>
  <si>
    <t>박재우</t>
  </si>
  <si>
    <t>황인선</t>
  </si>
  <si>
    <t>김현미</t>
  </si>
  <si>
    <t>정미영</t>
  </si>
  <si>
    <t>0267356</t>
    <phoneticPr fontId="18" type="noConversion"/>
  </si>
  <si>
    <t>김경수</t>
  </si>
  <si>
    <t>권일녀</t>
  </si>
  <si>
    <t>옥경숙</t>
  </si>
  <si>
    <t>n</t>
    <phoneticPr fontId="18" type="noConversion"/>
  </si>
  <si>
    <t>s</t>
    <phoneticPr fontId="18" type="noConversion"/>
  </si>
  <si>
    <t>h</t>
    <phoneticPr fontId="18" type="noConversion"/>
  </si>
  <si>
    <t>박연정</t>
  </si>
  <si>
    <t>박서윤</t>
  </si>
  <si>
    <t>서정수</t>
  </si>
  <si>
    <t>최미왕</t>
  </si>
  <si>
    <t>박지온</t>
  </si>
  <si>
    <t>김형진</t>
  </si>
  <si>
    <t>이소영</t>
  </si>
  <si>
    <t>김성순</t>
  </si>
  <si>
    <t>0340084</t>
    <phoneticPr fontId="18" type="noConversion"/>
  </si>
  <si>
    <t>김유정</t>
  </si>
  <si>
    <t>윤연실</t>
  </si>
  <si>
    <t>최창학</t>
  </si>
  <si>
    <t>Infi</t>
  </si>
  <si>
    <t>n</t>
    <phoneticPr fontId="18" type="noConversion"/>
  </si>
  <si>
    <t>s</t>
    <phoneticPr fontId="18" type="noConversion"/>
  </si>
  <si>
    <t xml:space="preserve">s </t>
    <phoneticPr fontId="18" type="noConversion"/>
  </si>
  <si>
    <t xml:space="preserve">n </t>
    <phoneticPr fontId="18" type="noConversion"/>
  </si>
  <si>
    <t>김소현</t>
  </si>
  <si>
    <t>김지연</t>
  </si>
  <si>
    <t>김영순</t>
  </si>
  <si>
    <t>김진원</t>
  </si>
  <si>
    <t>연영미</t>
  </si>
  <si>
    <t>선지연</t>
  </si>
  <si>
    <t>김영자</t>
  </si>
  <si>
    <t>조복동</t>
  </si>
  <si>
    <t>NM830</t>
  </si>
  <si>
    <t>송덕실</t>
  </si>
  <si>
    <t>0963595</t>
    <phoneticPr fontId="18" type="noConversion"/>
  </si>
  <si>
    <t>장은영</t>
  </si>
  <si>
    <t>이옥희</t>
  </si>
  <si>
    <t>정희정</t>
  </si>
  <si>
    <t>서미선</t>
  </si>
  <si>
    <t>0069743</t>
    <phoneticPr fontId="18" type="noConversion"/>
  </si>
  <si>
    <t>김은숙</t>
  </si>
  <si>
    <t>0050163</t>
    <phoneticPr fontId="18" type="noConversion"/>
  </si>
  <si>
    <t>조경숙</t>
  </si>
  <si>
    <t>김미정</t>
  </si>
  <si>
    <t>전미순</t>
  </si>
  <si>
    <t>김경미</t>
  </si>
  <si>
    <t>권나혜</t>
  </si>
  <si>
    <t>이동매</t>
  </si>
  <si>
    <t>n</t>
    <phoneticPr fontId="18" type="noConversion"/>
  </si>
  <si>
    <t>s</t>
    <phoneticPr fontId="18" type="noConversion"/>
  </si>
  <si>
    <t>h</t>
    <phoneticPr fontId="18" type="noConversion"/>
  </si>
  <si>
    <t>0170812</t>
    <phoneticPr fontId="18" type="noConversion"/>
  </si>
  <si>
    <t>김도영</t>
  </si>
  <si>
    <t>050Y</t>
  </si>
  <si>
    <t>하진호</t>
  </si>
  <si>
    <t>039Y</t>
  </si>
  <si>
    <t>최호선</t>
  </si>
  <si>
    <t>043Y</t>
  </si>
  <si>
    <t>양명수</t>
  </si>
  <si>
    <t>067Y</t>
  </si>
  <si>
    <t>0306529</t>
    <phoneticPr fontId="18" type="noConversion"/>
  </si>
  <si>
    <t>053Y</t>
  </si>
  <si>
    <t>n</t>
    <phoneticPr fontId="18" type="noConversion"/>
  </si>
  <si>
    <t>0043959</t>
    <phoneticPr fontId="18" type="noConversion"/>
  </si>
  <si>
    <t>전남임</t>
  </si>
  <si>
    <t>058Y</t>
  </si>
  <si>
    <t>infi</t>
    <phoneticPr fontId="18" type="noConversion"/>
  </si>
  <si>
    <t>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</si>
</sst>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[Red]\(0\)"/>
    <numFmt numFmtId="177" formatCode="0.000_);[Red]\(0.000\)"/>
    <numFmt numFmtId="178" formatCode="h:mm;@"/>
    <numFmt numFmtId="179" formatCode="0.000"/>
  </numFmts>
  <fonts count="2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Fill="1">
      <alignment vertical="center"/>
    </xf>
    <xf numFmtId="0" fontId="0" fillId="0" borderId="0" xfId="0" applyAlignment="1">
      <alignment vertical="center"/>
    </xf>
    <xf numFmtId="178" fontId="0" fillId="0" borderId="0" xfId="0" applyNumberFormat="1">
      <alignment vertical="center"/>
    </xf>
    <xf numFmtId="49" fontId="0" fillId="0" borderId="0" xfId="0" applyNumberFormat="1" applyFill="1">
      <alignment vertical="center"/>
    </xf>
    <xf numFmtId="9" fontId="0" fillId="0" borderId="0" xfId="0" applyNumberFormat="1">
      <alignment vertical="center"/>
    </xf>
    <xf numFmtId="9" fontId="0" fillId="33" borderId="0" xfId="0" applyNumberFormat="1" applyFill="1">
      <alignment vertical="center"/>
    </xf>
    <xf numFmtId="9" fontId="0" fillId="0" borderId="0" xfId="42" applyFont="1">
      <alignment vertical="center"/>
    </xf>
    <xf numFmtId="0" fontId="0" fillId="0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179" fontId="0" fillId="0" borderId="0" xfId="0" applyNumberFormat="1">
      <alignment vertical="center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백분율" xfId="42" builtinId="5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2">
    <dxf>
      <fill>
        <patternFill>
          <fgColor indexed="64"/>
          <bgColor theme="5" tint="0.79995117038483843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E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566"/>
  <sheetViews>
    <sheetView tabSelected="1" zoomScaleNormal="100" workbookViewId="0">
      <pane xSplit="1" ySplit="1" topLeftCell="AA387" activePane="bottomRight" state="frozen"/>
      <selection pane="topRight" activeCell="B1" sqref="B1"/>
      <selection pane="bottomLeft" activeCell="A2" sqref="A2"/>
      <selection pane="bottomRight" activeCell="AF429" sqref="AF429"/>
    </sheetView>
  </sheetViews>
  <sheetFormatPr defaultRowHeight="16.5" x14ac:dyDescent="0.3"/>
  <cols>
    <col min="1" max="1" width="9" style="3" customWidth="1"/>
    <col min="2" max="4" width="9" customWidth="1"/>
    <col min="5" max="5" width="11.125" customWidth="1"/>
    <col min="6" max="6" width="16.625" customWidth="1"/>
    <col min="7" max="7" width="22.875" customWidth="1"/>
    <col min="8" max="8" width="19.125" style="5" customWidth="1"/>
    <col min="9" max="9" width="19.5" style="6" customWidth="1"/>
    <col min="10" max="10" width="17.375" style="6" customWidth="1"/>
    <col min="11" max="11" width="19.5" style="5" customWidth="1"/>
    <col min="12" max="12" width="20.25" style="5" customWidth="1"/>
    <col min="13" max="13" width="20.625" style="6" customWidth="1"/>
    <col min="14" max="14" width="19.125" style="6" customWidth="1"/>
    <col min="15" max="15" width="19" style="5" customWidth="1"/>
    <col min="16" max="16" width="6.75" style="5" customWidth="1"/>
    <col min="17" max="17" width="19.75" style="5" customWidth="1"/>
    <col min="18" max="18" width="19.5" style="6" customWidth="1"/>
    <col min="19" max="19" width="18" style="6" customWidth="1"/>
    <col min="20" max="20" width="16.875" style="5" customWidth="1"/>
    <col min="21" max="21" width="18.75" style="5" customWidth="1"/>
    <col min="22" max="22" width="18.625" style="6" customWidth="1"/>
    <col min="23" max="23" width="16.125" style="6" customWidth="1"/>
    <col min="24" max="24" width="21" style="5" customWidth="1"/>
    <col min="25" max="25" width="14.375" customWidth="1"/>
    <col min="26" max="26" width="21" style="6" customWidth="1"/>
    <col min="27" max="27" width="21.75" style="6" customWidth="1"/>
    <col min="28" max="28" width="13.625" style="5" customWidth="1"/>
    <col min="29" max="29" width="13.5" customWidth="1"/>
    <col min="30" max="30" width="13.25" customWidth="1"/>
    <col min="31" max="31" width="12.75" customWidth="1"/>
    <col min="32" max="33" width="11" customWidth="1"/>
    <col min="34" max="34" width="10.25" customWidth="1"/>
    <col min="35" max="36" width="11" customWidth="1"/>
    <col min="37" max="37" width="10.25" customWidth="1"/>
    <col min="38" max="38" width="9" customWidth="1"/>
    <col min="39" max="39" width="18" customWidth="1"/>
  </cols>
  <sheetData>
    <row r="1" spans="1:39" x14ac:dyDescent="0.3">
      <c r="A1" s="3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5" t="s">
        <v>9</v>
      </c>
      <c r="I1" s="6" t="s">
        <v>10</v>
      </c>
      <c r="J1" s="6" t="s">
        <v>11</v>
      </c>
      <c r="K1" s="5" t="s">
        <v>12</v>
      </c>
      <c r="L1" s="5" t="s">
        <v>13</v>
      </c>
      <c r="M1" s="6" t="s">
        <v>14</v>
      </c>
      <c r="N1" s="6" t="s">
        <v>15</v>
      </c>
      <c r="O1" s="5" t="s">
        <v>16</v>
      </c>
      <c r="Q1" s="5" t="s">
        <v>17</v>
      </c>
      <c r="R1" s="6" t="s">
        <v>18</v>
      </c>
      <c r="S1" s="6" t="s">
        <v>19</v>
      </c>
      <c r="T1" s="5" t="s">
        <v>20</v>
      </c>
      <c r="U1" s="5" t="s">
        <v>21</v>
      </c>
      <c r="V1" s="6" t="s">
        <v>22</v>
      </c>
      <c r="W1" s="6" t="s">
        <v>23</v>
      </c>
      <c r="X1" s="5" t="s">
        <v>24</v>
      </c>
      <c r="Z1" s="6" t="s">
        <v>109</v>
      </c>
      <c r="AA1" s="6" t="s">
        <v>110</v>
      </c>
      <c r="AB1" s="5" t="s">
        <v>329</v>
      </c>
      <c r="AC1" t="s">
        <v>8</v>
      </c>
      <c r="AE1" t="s">
        <v>419</v>
      </c>
      <c r="AF1" t="s">
        <v>7</v>
      </c>
      <c r="AG1" t="s">
        <v>25</v>
      </c>
      <c r="AH1" t="s">
        <v>33</v>
      </c>
      <c r="AI1" t="s">
        <v>7</v>
      </c>
      <c r="AJ1" t="s">
        <v>26</v>
      </c>
      <c r="AK1" t="s">
        <v>34</v>
      </c>
      <c r="AM1" t="s">
        <v>32</v>
      </c>
    </row>
    <row r="2" spans="1:39" x14ac:dyDescent="0.3">
      <c r="A2" s="3" t="s">
        <v>27</v>
      </c>
      <c r="B2" t="s">
        <v>28</v>
      </c>
      <c r="C2" t="s">
        <v>29</v>
      </c>
      <c r="D2">
        <v>51</v>
      </c>
      <c r="E2" s="1">
        <v>25248</v>
      </c>
      <c r="F2" s="2">
        <v>44048.443854166668</v>
      </c>
      <c r="G2" t="s">
        <v>30</v>
      </c>
      <c r="H2" s="5">
        <v>2559</v>
      </c>
      <c r="I2" s="6">
        <f t="shared" ref="I2:I33" si="0">H2/K2</f>
        <v>25.848484848484848</v>
      </c>
      <c r="J2" s="6">
        <v>5.0659999999999998</v>
      </c>
      <c r="K2" s="5">
        <v>99</v>
      </c>
      <c r="L2" s="5">
        <v>993</v>
      </c>
      <c r="M2" s="6">
        <f t="shared" ref="M2:M33" si="1">L2/O2</f>
        <v>10.030303030303031</v>
      </c>
      <c r="N2" s="6">
        <v>3.4540000000000002</v>
      </c>
      <c r="O2" s="5">
        <v>99</v>
      </c>
      <c r="Q2" s="5">
        <v>1875</v>
      </c>
      <c r="R2" s="6">
        <f t="shared" ref="R2:R33" si="2">Q2/T2</f>
        <v>18.939393939393938</v>
      </c>
      <c r="S2" s="6">
        <v>4.43</v>
      </c>
      <c r="T2" s="5">
        <v>99</v>
      </c>
      <c r="U2" s="5">
        <v>501</v>
      </c>
      <c r="V2" s="6">
        <f t="shared" ref="V2:V33" si="3">U2/X2</f>
        <v>5.0606060606060606</v>
      </c>
      <c r="W2" s="6">
        <v>2.1509999999999998</v>
      </c>
      <c r="X2" s="5">
        <v>99</v>
      </c>
      <c r="Z2" s="6">
        <f t="shared" ref="Z2:Z33" si="4">I2/M2</f>
        <v>2.5770392749244708</v>
      </c>
      <c r="AA2" s="6">
        <f t="shared" ref="AA2:AA33" si="5">R2/V2</f>
        <v>3.7425149700598799</v>
      </c>
      <c r="AB2" s="11">
        <f>(AA2-Z2)/Z2</f>
        <v>0.45225375743238039</v>
      </c>
      <c r="AC2" t="s">
        <v>31</v>
      </c>
      <c r="AE2" t="s">
        <v>420</v>
      </c>
      <c r="AF2" s="4">
        <f t="shared" ref="AF2:AF30" si="6">AI2</f>
        <v>0.37638888888888888</v>
      </c>
      <c r="AG2" s="4">
        <v>0.44375000000000003</v>
      </c>
      <c r="AH2" s="4">
        <f t="shared" ref="AH2:AH33" si="7">AG2-AF2</f>
        <v>6.7361111111111149E-2</v>
      </c>
      <c r="AI2" s="4">
        <v>0.37638888888888888</v>
      </c>
      <c r="AJ2" s="4">
        <v>0.51736111111111105</v>
      </c>
      <c r="AK2" s="4">
        <f t="shared" ref="AK2:AK33" si="8">AJ2-AI2</f>
        <v>0.14097222222222217</v>
      </c>
      <c r="AM2" t="b">
        <v>1</v>
      </c>
    </row>
    <row r="3" spans="1:39" x14ac:dyDescent="0.3">
      <c r="A3" s="3" t="s">
        <v>35</v>
      </c>
      <c r="B3" t="s">
        <v>36</v>
      </c>
      <c r="C3" t="s">
        <v>29</v>
      </c>
      <c r="D3">
        <v>58</v>
      </c>
      <c r="E3" s="1">
        <v>22526</v>
      </c>
      <c r="F3" s="2">
        <v>44049.380520833336</v>
      </c>
      <c r="G3" t="s">
        <v>30</v>
      </c>
      <c r="H3" s="5">
        <v>2787</v>
      </c>
      <c r="I3" s="6">
        <f t="shared" si="0"/>
        <v>28.151515151515152</v>
      </c>
      <c r="J3" s="6">
        <v>1.881</v>
      </c>
      <c r="K3" s="5">
        <v>99</v>
      </c>
      <c r="L3" s="5">
        <v>894</v>
      </c>
      <c r="M3" s="6">
        <f t="shared" si="1"/>
        <v>9.0303030303030312</v>
      </c>
      <c r="N3" s="6">
        <v>1.073</v>
      </c>
      <c r="O3" s="5">
        <v>99</v>
      </c>
      <c r="Q3" s="5">
        <v>2145</v>
      </c>
      <c r="R3" s="6">
        <f t="shared" si="2"/>
        <v>21.666666666666668</v>
      </c>
      <c r="S3" s="6">
        <v>2.2040000000000002</v>
      </c>
      <c r="T3" s="5">
        <v>99</v>
      </c>
      <c r="U3" s="5">
        <v>343</v>
      </c>
      <c r="V3" s="6">
        <f t="shared" si="3"/>
        <v>3.4646464646464645</v>
      </c>
      <c r="W3" s="6">
        <v>0.66</v>
      </c>
      <c r="X3" s="5">
        <v>99</v>
      </c>
      <c r="Z3" s="6">
        <f t="shared" si="4"/>
        <v>3.1174496644295302</v>
      </c>
      <c r="AA3" s="6">
        <f t="shared" si="5"/>
        <v>6.2536443148688052</v>
      </c>
      <c r="AB3" s="11">
        <f t="shared" ref="AB3:AB33" si="9">(AA3-Z3)/Z3</f>
        <v>1.0060129233917159</v>
      </c>
      <c r="AC3" t="s">
        <v>39</v>
      </c>
      <c r="AE3" t="s">
        <v>420</v>
      </c>
      <c r="AF3" s="4">
        <f t="shared" si="6"/>
        <v>0.37777777777777777</v>
      </c>
      <c r="AG3" s="4">
        <v>0.43402777777777773</v>
      </c>
      <c r="AH3" s="4">
        <f t="shared" si="7"/>
        <v>5.6249999999999967E-2</v>
      </c>
      <c r="AI3" s="4">
        <v>0.37777777777777777</v>
      </c>
      <c r="AJ3" s="4">
        <v>0.51388888888888895</v>
      </c>
      <c r="AK3" s="4">
        <f t="shared" si="8"/>
        <v>0.13611111111111118</v>
      </c>
      <c r="AM3" t="b">
        <v>1</v>
      </c>
    </row>
    <row r="4" spans="1:39" x14ac:dyDescent="0.3">
      <c r="A4" s="3" t="s">
        <v>37</v>
      </c>
      <c r="B4" t="s">
        <v>38</v>
      </c>
      <c r="C4" t="s">
        <v>29</v>
      </c>
      <c r="D4">
        <v>52</v>
      </c>
      <c r="E4" s="1">
        <v>24934</v>
      </c>
      <c r="F4" s="2">
        <v>44049.433958333335</v>
      </c>
      <c r="G4" t="s">
        <v>30</v>
      </c>
      <c r="H4" s="5">
        <v>3866</v>
      </c>
      <c r="I4" s="6">
        <f t="shared" si="0"/>
        <v>38.659999999999997</v>
      </c>
      <c r="J4" s="6">
        <v>7.157</v>
      </c>
      <c r="K4" s="5">
        <v>100</v>
      </c>
      <c r="L4" s="5">
        <v>1259</v>
      </c>
      <c r="M4" s="6">
        <f t="shared" si="1"/>
        <v>12.59</v>
      </c>
      <c r="N4" s="6">
        <v>3.3879999999999999</v>
      </c>
      <c r="O4" s="5">
        <v>100</v>
      </c>
      <c r="Q4" s="5">
        <v>2874</v>
      </c>
      <c r="R4" s="6">
        <f t="shared" si="2"/>
        <v>29.030303030303031</v>
      </c>
      <c r="S4" s="6">
        <v>4.665</v>
      </c>
      <c r="T4" s="5">
        <v>99</v>
      </c>
      <c r="U4" s="5">
        <v>489</v>
      </c>
      <c r="V4" s="6">
        <f t="shared" si="3"/>
        <v>4.9393939393939394</v>
      </c>
      <c r="W4" s="6">
        <v>2.3250000000000002</v>
      </c>
      <c r="X4" s="5">
        <v>99</v>
      </c>
      <c r="Z4" s="6">
        <f t="shared" si="4"/>
        <v>3.0706910246227164</v>
      </c>
      <c r="AA4" s="6">
        <f t="shared" si="5"/>
        <v>5.8773006134969323</v>
      </c>
      <c r="AB4" s="11">
        <f t="shared" si="9"/>
        <v>0.91399934619571599</v>
      </c>
      <c r="AC4" t="s">
        <v>40</v>
      </c>
      <c r="AE4" t="s">
        <v>421</v>
      </c>
      <c r="AF4" s="4">
        <f t="shared" si="6"/>
        <v>0.38263888888888892</v>
      </c>
      <c r="AG4" s="4">
        <v>0.4375</v>
      </c>
      <c r="AH4" s="4">
        <f t="shared" si="7"/>
        <v>5.4861111111111083E-2</v>
      </c>
      <c r="AI4" s="4">
        <v>0.38263888888888892</v>
      </c>
      <c r="AJ4" s="4">
        <v>0.51388888888888895</v>
      </c>
      <c r="AK4" s="4">
        <f t="shared" si="8"/>
        <v>0.13125000000000003</v>
      </c>
      <c r="AM4" t="b">
        <v>1</v>
      </c>
    </row>
    <row r="5" spans="1:39" x14ac:dyDescent="0.3">
      <c r="A5" s="3" t="s">
        <v>41</v>
      </c>
      <c r="B5" t="s">
        <v>42</v>
      </c>
      <c r="C5" t="s">
        <v>29</v>
      </c>
      <c r="D5">
        <v>49</v>
      </c>
      <c r="E5" s="1">
        <v>26045</v>
      </c>
      <c r="F5" s="2">
        <v>44050.430439814816</v>
      </c>
      <c r="G5" t="s">
        <v>30</v>
      </c>
      <c r="H5" s="5">
        <v>1853</v>
      </c>
      <c r="I5" s="6">
        <f t="shared" si="0"/>
        <v>18.53</v>
      </c>
      <c r="J5" s="6">
        <v>4.0389999999999997</v>
      </c>
      <c r="K5" s="5">
        <v>100</v>
      </c>
      <c r="L5" s="5">
        <v>1769</v>
      </c>
      <c r="M5" s="6">
        <f t="shared" si="1"/>
        <v>17.690000000000001</v>
      </c>
      <c r="N5" s="6">
        <v>4.2770000000000001</v>
      </c>
      <c r="O5" s="5">
        <v>100</v>
      </c>
      <c r="Q5" s="5">
        <v>873</v>
      </c>
      <c r="R5" s="6">
        <f t="shared" si="2"/>
        <v>8.8181818181818183</v>
      </c>
      <c r="S5" s="6">
        <v>3.2109999999999999</v>
      </c>
      <c r="T5" s="5">
        <v>99</v>
      </c>
      <c r="U5" s="5">
        <v>346</v>
      </c>
      <c r="V5" s="6">
        <f t="shared" si="3"/>
        <v>3.4949494949494948</v>
      </c>
      <c r="W5" s="6">
        <v>1.94</v>
      </c>
      <c r="X5" s="5">
        <v>99</v>
      </c>
      <c r="Z5" s="6">
        <f t="shared" si="4"/>
        <v>1.0474844544940645</v>
      </c>
      <c r="AA5" s="6">
        <f t="shared" si="5"/>
        <v>2.5231213872832372</v>
      </c>
      <c r="AB5" s="11">
        <f t="shared" si="9"/>
        <v>1.4087435154366144</v>
      </c>
      <c r="AC5" t="s">
        <v>43</v>
      </c>
      <c r="AE5" t="s">
        <v>420</v>
      </c>
      <c r="AF5" s="4">
        <f t="shared" si="6"/>
        <v>0.40625</v>
      </c>
      <c r="AG5" s="4">
        <v>0.43055555555555558</v>
      </c>
      <c r="AH5" s="4">
        <f t="shared" si="7"/>
        <v>2.430555555555558E-2</v>
      </c>
      <c r="AI5" s="4">
        <v>0.40625</v>
      </c>
      <c r="AJ5" s="4">
        <v>0.54861111111111105</v>
      </c>
      <c r="AK5" s="4">
        <f t="shared" si="8"/>
        <v>0.14236111111111105</v>
      </c>
      <c r="AM5" t="b">
        <v>1</v>
      </c>
    </row>
    <row r="6" spans="1:39" x14ac:dyDescent="0.3">
      <c r="A6" s="3" t="s">
        <v>57</v>
      </c>
      <c r="B6" t="s">
        <v>58</v>
      </c>
      <c r="C6" t="s">
        <v>59</v>
      </c>
      <c r="D6">
        <v>71</v>
      </c>
      <c r="E6" s="1">
        <v>17941</v>
      </c>
      <c r="F6" s="2">
        <v>44055.432638888888</v>
      </c>
      <c r="G6" t="s">
        <v>30</v>
      </c>
      <c r="H6" s="5">
        <v>1948</v>
      </c>
      <c r="I6" s="6">
        <f t="shared" si="0"/>
        <v>19.48</v>
      </c>
      <c r="J6" s="6">
        <v>1.732</v>
      </c>
      <c r="K6" s="5">
        <v>100</v>
      </c>
      <c r="L6" s="5">
        <v>825</v>
      </c>
      <c r="M6" s="6">
        <f t="shared" si="1"/>
        <v>8.25</v>
      </c>
      <c r="N6" s="6">
        <v>1.0189999999999999</v>
      </c>
      <c r="O6" s="5">
        <v>100</v>
      </c>
      <c r="Q6" s="5">
        <v>1456</v>
      </c>
      <c r="R6" s="6">
        <f t="shared" si="2"/>
        <v>14.707070707070708</v>
      </c>
      <c r="S6" s="6">
        <v>1.264</v>
      </c>
      <c r="T6" s="5">
        <v>99</v>
      </c>
      <c r="U6" s="5">
        <v>410</v>
      </c>
      <c r="V6" s="6">
        <f t="shared" si="3"/>
        <v>4.141414141414141</v>
      </c>
      <c r="W6" s="6">
        <v>0.76900000000000002</v>
      </c>
      <c r="X6" s="5">
        <v>99</v>
      </c>
      <c r="Z6" s="6">
        <f t="shared" si="4"/>
        <v>2.3612121212121213</v>
      </c>
      <c r="AA6" s="6">
        <f t="shared" si="5"/>
        <v>3.5512195121951224</v>
      </c>
      <c r="AB6" s="11">
        <f t="shared" si="9"/>
        <v>0.50398156958982332</v>
      </c>
      <c r="AC6" t="s">
        <v>60</v>
      </c>
      <c r="AE6" s="16" t="s">
        <v>426</v>
      </c>
      <c r="AF6" s="4">
        <f t="shared" si="6"/>
        <v>0.36458333333333331</v>
      </c>
      <c r="AG6" s="4">
        <v>0.43402777777777773</v>
      </c>
      <c r="AH6" s="4">
        <f t="shared" si="7"/>
        <v>6.944444444444442E-2</v>
      </c>
      <c r="AI6" s="4">
        <v>0.36458333333333331</v>
      </c>
      <c r="AJ6" s="4">
        <v>0.51736111111111105</v>
      </c>
      <c r="AK6" s="4">
        <f t="shared" si="8"/>
        <v>0.15277777777777773</v>
      </c>
      <c r="AM6" t="b">
        <v>1</v>
      </c>
    </row>
    <row r="7" spans="1:39" x14ac:dyDescent="0.3">
      <c r="A7" s="3" t="s">
        <v>47</v>
      </c>
      <c r="B7" t="s">
        <v>48</v>
      </c>
      <c r="C7" t="s">
        <v>29</v>
      </c>
      <c r="D7">
        <v>49</v>
      </c>
      <c r="E7" s="1">
        <v>26080</v>
      </c>
      <c r="F7" s="2">
        <v>44056.41946759259</v>
      </c>
      <c r="G7" t="s">
        <v>30</v>
      </c>
      <c r="H7" s="5">
        <v>3502</v>
      </c>
      <c r="I7" s="6">
        <f t="shared" si="0"/>
        <v>35.020000000000003</v>
      </c>
      <c r="J7" s="6">
        <v>6.5549999999999997</v>
      </c>
      <c r="K7" s="5">
        <v>100</v>
      </c>
      <c r="L7" s="5">
        <v>1769</v>
      </c>
      <c r="M7" s="6">
        <f t="shared" si="1"/>
        <v>17.690000000000001</v>
      </c>
      <c r="N7" s="6">
        <v>4.3099999999999996</v>
      </c>
      <c r="O7" s="5">
        <v>100</v>
      </c>
      <c r="Q7" s="5">
        <v>2057</v>
      </c>
      <c r="R7" s="6">
        <f t="shared" si="2"/>
        <v>20.57</v>
      </c>
      <c r="S7" s="6">
        <v>4.0510000000000002</v>
      </c>
      <c r="T7" s="5">
        <v>100</v>
      </c>
      <c r="U7" s="5">
        <v>534</v>
      </c>
      <c r="V7" s="6">
        <f t="shared" si="3"/>
        <v>5.34</v>
      </c>
      <c r="W7" s="7">
        <v>2.4340000000000002</v>
      </c>
      <c r="X7" s="5">
        <v>100</v>
      </c>
      <c r="Z7" s="6">
        <f t="shared" si="4"/>
        <v>1.9796495195025439</v>
      </c>
      <c r="AA7" s="6">
        <f t="shared" si="5"/>
        <v>3.8520599250936329</v>
      </c>
      <c r="AB7" s="11">
        <f t="shared" si="9"/>
        <v>0.94582924257299728</v>
      </c>
      <c r="AC7" t="s">
        <v>49</v>
      </c>
      <c r="AE7" t="s">
        <v>420</v>
      </c>
      <c r="AF7" s="4">
        <f t="shared" si="6"/>
        <v>0.39513888888888887</v>
      </c>
      <c r="AG7" s="4">
        <v>0.4375</v>
      </c>
      <c r="AH7" s="4">
        <f t="shared" si="7"/>
        <v>4.2361111111111127E-2</v>
      </c>
      <c r="AI7" s="4">
        <v>0.39513888888888887</v>
      </c>
      <c r="AJ7" s="4">
        <v>0.53472222222222221</v>
      </c>
      <c r="AK7" s="4">
        <f t="shared" si="8"/>
        <v>0.13958333333333334</v>
      </c>
      <c r="AM7" t="b">
        <v>1</v>
      </c>
    </row>
    <row r="8" spans="1:39" x14ac:dyDescent="0.3">
      <c r="A8" s="3" t="s">
        <v>50</v>
      </c>
      <c r="B8" t="s">
        <v>51</v>
      </c>
      <c r="C8" t="s">
        <v>52</v>
      </c>
      <c r="D8">
        <v>51</v>
      </c>
      <c r="E8" s="1">
        <v>25099</v>
      </c>
      <c r="F8" s="2">
        <v>44056.421203703707</v>
      </c>
      <c r="G8" t="s">
        <v>30</v>
      </c>
      <c r="H8" s="5">
        <v>2391</v>
      </c>
      <c r="I8" s="6">
        <f t="shared" si="0"/>
        <v>24.151515151515152</v>
      </c>
      <c r="J8" s="6">
        <v>1.68</v>
      </c>
      <c r="K8" s="5">
        <v>99</v>
      </c>
      <c r="L8" s="5">
        <v>1450</v>
      </c>
      <c r="M8" s="6">
        <f t="shared" si="1"/>
        <v>14.646464646464647</v>
      </c>
      <c r="N8" s="6">
        <v>1.409</v>
      </c>
      <c r="O8" s="5">
        <v>99</v>
      </c>
      <c r="Q8" s="5">
        <v>1623</v>
      </c>
      <c r="R8" s="6">
        <f t="shared" si="2"/>
        <v>16.393939393939394</v>
      </c>
      <c r="S8" s="6">
        <v>1.008</v>
      </c>
      <c r="T8" s="5">
        <v>99</v>
      </c>
      <c r="U8" s="5">
        <v>589</v>
      </c>
      <c r="V8" s="6">
        <f t="shared" si="3"/>
        <v>5.9494949494949498</v>
      </c>
      <c r="W8" s="7">
        <v>0.59499999999999997</v>
      </c>
      <c r="X8" s="5">
        <v>99</v>
      </c>
      <c r="Z8" s="6">
        <f t="shared" si="4"/>
        <v>1.6489655172413793</v>
      </c>
      <c r="AA8" s="6">
        <f t="shared" si="5"/>
        <v>2.7555178268251272</v>
      </c>
      <c r="AB8" s="11">
        <f t="shared" si="9"/>
        <v>0.67105848970992665</v>
      </c>
      <c r="AC8" t="s">
        <v>53</v>
      </c>
      <c r="AE8" t="s">
        <v>422</v>
      </c>
      <c r="AF8" s="4">
        <f t="shared" si="6"/>
        <v>0.3743055555555555</v>
      </c>
      <c r="AG8" s="4">
        <v>0.43055555555555558</v>
      </c>
      <c r="AH8" s="4">
        <f t="shared" si="7"/>
        <v>5.6250000000000078E-2</v>
      </c>
      <c r="AI8" s="4">
        <v>0.3743055555555555</v>
      </c>
      <c r="AJ8" s="4">
        <v>0.51388888888888895</v>
      </c>
      <c r="AK8" s="4">
        <f t="shared" si="8"/>
        <v>0.13958333333333345</v>
      </c>
      <c r="AM8" t="b">
        <v>1</v>
      </c>
    </row>
    <row r="9" spans="1:39" x14ac:dyDescent="0.3">
      <c r="A9" s="3" t="s">
        <v>44</v>
      </c>
      <c r="B9" t="s">
        <v>45</v>
      </c>
      <c r="C9" t="s">
        <v>29</v>
      </c>
      <c r="D9">
        <v>70</v>
      </c>
      <c r="E9" s="1">
        <v>18347</v>
      </c>
      <c r="F9" s="2">
        <v>44056.424675925926</v>
      </c>
      <c r="G9" t="s">
        <v>30</v>
      </c>
      <c r="H9" s="5">
        <v>2444</v>
      </c>
      <c r="I9" s="6">
        <f t="shared" si="0"/>
        <v>24.686868686868689</v>
      </c>
      <c r="J9" s="6">
        <v>1.8660000000000001</v>
      </c>
      <c r="K9" s="5">
        <v>99</v>
      </c>
      <c r="L9" s="5">
        <v>1370</v>
      </c>
      <c r="M9" s="6">
        <f t="shared" si="1"/>
        <v>13.838383838383839</v>
      </c>
      <c r="N9" s="6">
        <v>0.98699999999999999</v>
      </c>
      <c r="O9" s="5">
        <v>99</v>
      </c>
      <c r="Q9" s="5">
        <v>1706</v>
      </c>
      <c r="R9" s="6">
        <f t="shared" si="2"/>
        <v>17.059999999999999</v>
      </c>
      <c r="S9" s="6">
        <v>1.4690000000000001</v>
      </c>
      <c r="T9" s="5">
        <v>100</v>
      </c>
      <c r="U9" s="5">
        <v>598</v>
      </c>
      <c r="V9" s="6">
        <f t="shared" si="3"/>
        <v>5.98</v>
      </c>
      <c r="W9" s="7">
        <v>1.0049999999999999</v>
      </c>
      <c r="X9" s="5">
        <v>100</v>
      </c>
      <c r="Z9" s="6">
        <f t="shared" si="4"/>
        <v>1.7839416058394162</v>
      </c>
      <c r="AA9" s="6">
        <f t="shared" si="5"/>
        <v>2.8528428093645481</v>
      </c>
      <c r="AB9" s="11">
        <f t="shared" si="9"/>
        <v>0.59917947988110909</v>
      </c>
      <c r="AC9" t="s">
        <v>46</v>
      </c>
      <c r="AE9" t="s">
        <v>422</v>
      </c>
      <c r="AF9" s="4">
        <f t="shared" si="6"/>
        <v>0.38819444444444445</v>
      </c>
      <c r="AG9" s="4">
        <v>0.43055555555555558</v>
      </c>
      <c r="AH9" s="4">
        <f t="shared" si="7"/>
        <v>4.2361111111111127E-2</v>
      </c>
      <c r="AI9" s="4">
        <v>0.38819444444444445</v>
      </c>
      <c r="AJ9" s="4">
        <v>0.52083333333333337</v>
      </c>
      <c r="AK9" s="4">
        <f t="shared" si="8"/>
        <v>0.13263888888888892</v>
      </c>
      <c r="AM9" t="b">
        <v>1</v>
      </c>
    </row>
    <row r="10" spans="1:39" x14ac:dyDescent="0.3">
      <c r="A10" s="3" t="s">
        <v>54</v>
      </c>
      <c r="B10" t="s">
        <v>55</v>
      </c>
      <c r="C10" t="s">
        <v>29</v>
      </c>
      <c r="D10">
        <v>53</v>
      </c>
      <c r="E10" s="1">
        <v>24589</v>
      </c>
      <c r="F10" s="2">
        <v>44057.439502314817</v>
      </c>
      <c r="G10" t="s">
        <v>30</v>
      </c>
      <c r="H10" s="5">
        <v>3080</v>
      </c>
      <c r="I10" s="6">
        <f t="shared" si="0"/>
        <v>31.111111111111111</v>
      </c>
      <c r="J10" s="6">
        <v>5.6459999999999999</v>
      </c>
      <c r="K10" s="5">
        <v>99</v>
      </c>
      <c r="L10" s="5">
        <v>1050</v>
      </c>
      <c r="M10" s="6">
        <f t="shared" si="1"/>
        <v>10.606060606060606</v>
      </c>
      <c r="N10" s="6">
        <v>3.5710000000000002</v>
      </c>
      <c r="O10" s="5">
        <v>99</v>
      </c>
      <c r="Q10" s="5">
        <v>2093</v>
      </c>
      <c r="R10" s="6">
        <f t="shared" si="2"/>
        <v>21.141414141414142</v>
      </c>
      <c r="S10" s="6">
        <v>5.0369999999999999</v>
      </c>
      <c r="T10" s="5">
        <v>99</v>
      </c>
      <c r="U10" s="5">
        <v>429</v>
      </c>
      <c r="V10" s="6">
        <f t="shared" si="3"/>
        <v>4.333333333333333</v>
      </c>
      <c r="W10" s="6">
        <v>2.0299999999999998</v>
      </c>
      <c r="X10" s="5">
        <v>99</v>
      </c>
      <c r="Z10" s="6">
        <f t="shared" si="4"/>
        <v>2.9333333333333336</v>
      </c>
      <c r="AA10" s="6">
        <f t="shared" si="5"/>
        <v>4.8787878787878789</v>
      </c>
      <c r="AB10" s="11">
        <f t="shared" si="9"/>
        <v>0.66322314049586772</v>
      </c>
      <c r="AC10" t="s">
        <v>56</v>
      </c>
      <c r="AE10" t="s">
        <v>421</v>
      </c>
      <c r="AF10" s="4">
        <f t="shared" si="6"/>
        <v>0.37777777777777777</v>
      </c>
      <c r="AG10" s="4">
        <v>0.43055555555555558</v>
      </c>
      <c r="AH10" s="4">
        <f t="shared" si="7"/>
        <v>5.2777777777777812E-2</v>
      </c>
      <c r="AI10" s="4">
        <v>0.37777777777777777</v>
      </c>
      <c r="AJ10" s="4">
        <v>0.52083333333333337</v>
      </c>
      <c r="AK10" s="4">
        <f t="shared" si="8"/>
        <v>0.1430555555555556</v>
      </c>
      <c r="AM10" t="b">
        <v>1</v>
      </c>
    </row>
    <row r="11" spans="1:39" x14ac:dyDescent="0.3">
      <c r="A11" s="3" t="s">
        <v>70</v>
      </c>
      <c r="B11" t="s">
        <v>71</v>
      </c>
      <c r="C11" t="s">
        <v>29</v>
      </c>
      <c r="D11">
        <v>63</v>
      </c>
      <c r="E11" s="1">
        <v>20950</v>
      </c>
      <c r="F11" s="2">
        <v>44061.410138888888</v>
      </c>
      <c r="G11" t="s">
        <v>30</v>
      </c>
      <c r="H11" s="5">
        <v>4052</v>
      </c>
      <c r="I11" s="6">
        <f t="shared" si="0"/>
        <v>40.929292929292927</v>
      </c>
      <c r="J11" s="6">
        <v>6.6150000000000002</v>
      </c>
      <c r="K11" s="5">
        <v>99</v>
      </c>
      <c r="L11" s="5">
        <v>1597</v>
      </c>
      <c r="M11" s="6">
        <f t="shared" si="1"/>
        <v>16.131313131313131</v>
      </c>
      <c r="N11" s="6">
        <v>4.1020000000000003</v>
      </c>
      <c r="O11" s="5">
        <v>99</v>
      </c>
      <c r="Q11" s="5">
        <v>2999</v>
      </c>
      <c r="R11" s="6">
        <f t="shared" si="2"/>
        <v>30.292929292929294</v>
      </c>
      <c r="S11" s="6">
        <v>5.8650000000000002</v>
      </c>
      <c r="T11" s="5">
        <v>99</v>
      </c>
      <c r="U11" s="5">
        <v>557</v>
      </c>
      <c r="V11" s="6">
        <f t="shared" si="3"/>
        <v>5.6262626262626263</v>
      </c>
      <c r="W11" s="6">
        <v>2.5579999999999998</v>
      </c>
      <c r="X11" s="5">
        <v>99</v>
      </c>
      <c r="Z11" s="6">
        <f t="shared" si="4"/>
        <v>2.5372573575453976</v>
      </c>
      <c r="AA11" s="6">
        <f t="shared" si="5"/>
        <v>5.3842010771992816</v>
      </c>
      <c r="AB11" s="11">
        <f t="shared" si="9"/>
        <v>1.1220555578201512</v>
      </c>
      <c r="AC11" t="s">
        <v>72</v>
      </c>
      <c r="AE11" t="s">
        <v>421</v>
      </c>
      <c r="AF11" s="4">
        <f t="shared" si="6"/>
        <v>0.38958333333333334</v>
      </c>
      <c r="AG11" s="4">
        <v>0.4375</v>
      </c>
      <c r="AH11" s="4">
        <f t="shared" si="7"/>
        <v>4.7916666666666663E-2</v>
      </c>
      <c r="AI11" s="4">
        <v>0.38958333333333334</v>
      </c>
      <c r="AJ11" s="4">
        <v>0.52083333333333337</v>
      </c>
      <c r="AK11" s="4">
        <f t="shared" si="8"/>
        <v>0.13125000000000003</v>
      </c>
      <c r="AM11" t="b">
        <v>1</v>
      </c>
    </row>
    <row r="12" spans="1:39" x14ac:dyDescent="0.3">
      <c r="A12" s="3" t="s">
        <v>67</v>
      </c>
      <c r="B12" t="s">
        <v>68</v>
      </c>
      <c r="C12" t="s">
        <v>29</v>
      </c>
      <c r="D12">
        <v>53</v>
      </c>
      <c r="E12" s="1">
        <v>24497</v>
      </c>
      <c r="F12" s="2">
        <v>44061.424386574072</v>
      </c>
      <c r="G12" t="s">
        <v>30</v>
      </c>
      <c r="H12" s="5">
        <v>2814</v>
      </c>
      <c r="I12" s="6">
        <f t="shared" si="0"/>
        <v>28.424242424242426</v>
      </c>
      <c r="J12" s="6">
        <v>1.83</v>
      </c>
      <c r="K12" s="5">
        <v>99</v>
      </c>
      <c r="L12" s="5">
        <v>1572</v>
      </c>
      <c r="M12" s="6">
        <f t="shared" si="1"/>
        <v>15.878787878787879</v>
      </c>
      <c r="N12" s="6">
        <v>1.4450000000000001</v>
      </c>
      <c r="O12" s="5">
        <v>99</v>
      </c>
      <c r="Q12" s="5">
        <v>1887</v>
      </c>
      <c r="R12" s="6">
        <f t="shared" si="2"/>
        <v>18.87</v>
      </c>
      <c r="S12" s="6">
        <v>2.097</v>
      </c>
      <c r="T12" s="5">
        <v>100</v>
      </c>
      <c r="U12" s="5">
        <v>485</v>
      </c>
      <c r="V12" s="6">
        <f t="shared" si="3"/>
        <v>4.8499999999999996</v>
      </c>
      <c r="W12" s="7">
        <v>0.84499999999999997</v>
      </c>
      <c r="X12" s="5">
        <v>100</v>
      </c>
      <c r="Z12" s="6">
        <f t="shared" si="4"/>
        <v>1.7900763358778626</v>
      </c>
      <c r="AA12" s="6">
        <f t="shared" si="5"/>
        <v>3.8907216494845365</v>
      </c>
      <c r="AB12" s="11">
        <f t="shared" si="9"/>
        <v>1.1734948233794213</v>
      </c>
      <c r="AC12" t="s">
        <v>69</v>
      </c>
      <c r="AE12" t="s">
        <v>421</v>
      </c>
      <c r="AF12" s="4">
        <f t="shared" si="6"/>
        <v>0.4145833333333333</v>
      </c>
      <c r="AG12" s="4">
        <v>0.44791666666666669</v>
      </c>
      <c r="AH12" s="4">
        <f t="shared" si="7"/>
        <v>3.3333333333333381E-2</v>
      </c>
      <c r="AI12" s="4">
        <v>0.4145833333333333</v>
      </c>
      <c r="AJ12" s="4">
        <v>0.52777777777777779</v>
      </c>
      <c r="AK12" s="4">
        <f t="shared" si="8"/>
        <v>0.11319444444444449</v>
      </c>
      <c r="AM12" t="b">
        <v>1</v>
      </c>
    </row>
    <row r="13" spans="1:39" x14ac:dyDescent="0.3">
      <c r="A13" s="3" t="s">
        <v>64</v>
      </c>
      <c r="B13" t="s">
        <v>65</v>
      </c>
      <c r="C13" t="s">
        <v>29</v>
      </c>
      <c r="D13">
        <v>60</v>
      </c>
      <c r="E13" s="1">
        <v>22133</v>
      </c>
      <c r="F13" s="2">
        <v>44061.437789351854</v>
      </c>
      <c r="G13" t="s">
        <v>30</v>
      </c>
      <c r="H13" s="5">
        <v>2035</v>
      </c>
      <c r="I13" s="6">
        <f t="shared" si="0"/>
        <v>20.555555555555557</v>
      </c>
      <c r="J13" s="6">
        <v>1.0900000000000001</v>
      </c>
      <c r="K13" s="5">
        <v>99</v>
      </c>
      <c r="L13" s="5">
        <v>1241</v>
      </c>
      <c r="M13" s="6">
        <f t="shared" si="1"/>
        <v>12.535353535353535</v>
      </c>
      <c r="N13" s="6">
        <v>1.0229999999999999</v>
      </c>
      <c r="O13" s="5">
        <v>99</v>
      </c>
      <c r="Q13" s="5">
        <v>1523</v>
      </c>
      <c r="R13" s="6">
        <f t="shared" si="2"/>
        <v>15.383838383838384</v>
      </c>
      <c r="S13" s="6">
        <v>1.0569999999999999</v>
      </c>
      <c r="T13" s="5">
        <v>99</v>
      </c>
      <c r="U13" s="5">
        <v>468</v>
      </c>
      <c r="V13" s="6">
        <f t="shared" si="3"/>
        <v>4.7272727272727275</v>
      </c>
      <c r="W13" s="7">
        <v>0.71199999999999997</v>
      </c>
      <c r="X13" s="5">
        <v>99</v>
      </c>
      <c r="Z13" s="6">
        <f t="shared" si="4"/>
        <v>1.639806607574537</v>
      </c>
      <c r="AA13" s="6">
        <f t="shared" si="5"/>
        <v>3.2542735042735043</v>
      </c>
      <c r="AB13" s="11">
        <f t="shared" si="9"/>
        <v>0.98454713454713416</v>
      </c>
      <c r="AC13" t="s">
        <v>66</v>
      </c>
      <c r="AE13" t="s">
        <v>422</v>
      </c>
      <c r="AF13" s="4">
        <f t="shared" si="6"/>
        <v>0.39305555555555555</v>
      </c>
      <c r="AG13" s="4">
        <v>0.44444444444444442</v>
      </c>
      <c r="AH13" s="4">
        <f t="shared" si="7"/>
        <v>5.1388888888888873E-2</v>
      </c>
      <c r="AI13" s="4">
        <v>0.39305555555555555</v>
      </c>
      <c r="AJ13" s="4">
        <v>0.53472222222222221</v>
      </c>
      <c r="AK13" s="4">
        <f t="shared" si="8"/>
        <v>0.14166666666666666</v>
      </c>
      <c r="AM13" t="b">
        <v>1</v>
      </c>
    </row>
    <row r="14" spans="1:39" x14ac:dyDescent="0.3">
      <c r="A14" s="3" t="s">
        <v>61</v>
      </c>
      <c r="B14" t="s">
        <v>62</v>
      </c>
      <c r="C14" t="s">
        <v>29</v>
      </c>
      <c r="D14">
        <v>61</v>
      </c>
      <c r="E14" s="1">
        <v>21429</v>
      </c>
      <c r="F14" s="2">
        <v>44061.439722222225</v>
      </c>
      <c r="G14" t="s">
        <v>30</v>
      </c>
      <c r="H14" s="5">
        <v>2420</v>
      </c>
      <c r="I14" s="6">
        <f t="shared" si="0"/>
        <v>24.444444444444443</v>
      </c>
      <c r="J14" s="6">
        <v>5.5970000000000004</v>
      </c>
      <c r="K14" s="5">
        <v>99</v>
      </c>
      <c r="L14" s="5">
        <v>1086</v>
      </c>
      <c r="M14" s="6">
        <f t="shared" si="1"/>
        <v>10.969696969696969</v>
      </c>
      <c r="N14" s="6">
        <v>3.504</v>
      </c>
      <c r="O14" s="5">
        <v>99</v>
      </c>
      <c r="Q14" s="5">
        <v>1710</v>
      </c>
      <c r="R14" s="6">
        <f t="shared" si="2"/>
        <v>17.272727272727273</v>
      </c>
      <c r="S14" s="6">
        <v>4.2370000000000001</v>
      </c>
      <c r="T14" s="5">
        <v>99</v>
      </c>
      <c r="U14" s="5">
        <v>424</v>
      </c>
      <c r="V14" s="6">
        <f t="shared" si="3"/>
        <v>4.2828282828282829</v>
      </c>
      <c r="W14" s="6">
        <v>2.254</v>
      </c>
      <c r="X14" s="5">
        <v>99</v>
      </c>
      <c r="Z14" s="6">
        <f t="shared" si="4"/>
        <v>2.2283609576427255</v>
      </c>
      <c r="AA14" s="6">
        <f t="shared" si="5"/>
        <v>4.033018867924528</v>
      </c>
      <c r="AB14" s="11">
        <f t="shared" si="9"/>
        <v>0.80985888039918918</v>
      </c>
      <c r="AC14" t="s">
        <v>63</v>
      </c>
      <c r="AE14" t="s">
        <v>421</v>
      </c>
      <c r="AF14" s="4">
        <f t="shared" si="6"/>
        <v>0.3840277777777778</v>
      </c>
      <c r="AG14" s="4">
        <v>0.4375</v>
      </c>
      <c r="AH14" s="4">
        <f t="shared" si="7"/>
        <v>5.3472222222222199E-2</v>
      </c>
      <c r="AI14" s="4">
        <v>0.3840277777777778</v>
      </c>
      <c r="AJ14" s="4">
        <v>0.52083333333333337</v>
      </c>
      <c r="AK14" s="4">
        <f t="shared" si="8"/>
        <v>0.13680555555555557</v>
      </c>
      <c r="AM14" t="b">
        <v>1</v>
      </c>
    </row>
    <row r="15" spans="1:39" x14ac:dyDescent="0.3">
      <c r="A15" s="3" t="s">
        <v>73</v>
      </c>
      <c r="B15" t="s">
        <v>74</v>
      </c>
      <c r="C15" t="s">
        <v>29</v>
      </c>
      <c r="D15">
        <v>48</v>
      </c>
      <c r="E15" s="1">
        <v>26190</v>
      </c>
      <c r="F15" s="2">
        <v>44062.408263888887</v>
      </c>
      <c r="G15" t="s">
        <v>30</v>
      </c>
      <c r="H15" s="5">
        <v>3226</v>
      </c>
      <c r="I15" s="6">
        <f t="shared" si="0"/>
        <v>32.26</v>
      </c>
      <c r="J15" s="6">
        <v>2.2000000000000002</v>
      </c>
      <c r="K15" s="5">
        <v>100</v>
      </c>
      <c r="L15" s="5">
        <v>1355</v>
      </c>
      <c r="M15" s="6">
        <f t="shared" si="1"/>
        <v>13.55</v>
      </c>
      <c r="N15" s="6">
        <v>1.1839999999999999</v>
      </c>
      <c r="O15" s="5">
        <v>100</v>
      </c>
      <c r="Q15" s="5">
        <v>2304</v>
      </c>
      <c r="R15" s="6">
        <f t="shared" si="2"/>
        <v>23.272727272727273</v>
      </c>
      <c r="S15" s="6">
        <v>2.226</v>
      </c>
      <c r="T15" s="5">
        <v>99</v>
      </c>
      <c r="U15" s="5">
        <v>602</v>
      </c>
      <c r="V15" s="6">
        <f t="shared" si="3"/>
        <v>6.0808080808080804</v>
      </c>
      <c r="W15" s="6">
        <v>0.94399999999999995</v>
      </c>
      <c r="X15" s="5">
        <v>99</v>
      </c>
      <c r="Z15" s="6">
        <f t="shared" si="4"/>
        <v>2.3808118081180809</v>
      </c>
      <c r="AA15" s="6">
        <f t="shared" si="5"/>
        <v>3.8272425249169437</v>
      </c>
      <c r="AB15" s="11">
        <f t="shared" si="9"/>
        <v>0.60753677038513931</v>
      </c>
      <c r="AC15" t="s">
        <v>75</v>
      </c>
      <c r="AE15" t="s">
        <v>420</v>
      </c>
      <c r="AF15" s="4">
        <f t="shared" si="6"/>
        <v>0.36874999999999997</v>
      </c>
      <c r="AG15" s="4">
        <v>0.4375</v>
      </c>
      <c r="AH15" s="4">
        <f t="shared" si="7"/>
        <v>6.8750000000000033E-2</v>
      </c>
      <c r="AI15" s="4">
        <v>0.36874999999999997</v>
      </c>
      <c r="AJ15" s="4">
        <v>0.52430555555555558</v>
      </c>
      <c r="AK15" s="4">
        <f t="shared" si="8"/>
        <v>0.15555555555555561</v>
      </c>
      <c r="AM15" t="b">
        <v>1</v>
      </c>
    </row>
    <row r="16" spans="1:39" x14ac:dyDescent="0.3">
      <c r="A16" s="3" t="s">
        <v>79</v>
      </c>
      <c r="B16" t="s">
        <v>80</v>
      </c>
      <c r="C16" t="s">
        <v>29</v>
      </c>
      <c r="D16">
        <v>37</v>
      </c>
      <c r="E16" s="1">
        <v>30231</v>
      </c>
      <c r="F16" s="2">
        <v>44064.395925925928</v>
      </c>
      <c r="G16" t="s">
        <v>30</v>
      </c>
      <c r="H16" s="5">
        <v>1882</v>
      </c>
      <c r="I16" s="6">
        <f t="shared" si="0"/>
        <v>19.01010101010101</v>
      </c>
      <c r="J16" s="6">
        <v>1.3440000000000001</v>
      </c>
      <c r="K16" s="5">
        <v>99</v>
      </c>
      <c r="L16" s="5">
        <v>1180</v>
      </c>
      <c r="M16" s="6">
        <f t="shared" si="1"/>
        <v>11.919191919191919</v>
      </c>
      <c r="N16" s="6">
        <v>1.345</v>
      </c>
      <c r="O16" s="5">
        <v>99</v>
      </c>
      <c r="Q16" s="5">
        <v>1191</v>
      </c>
      <c r="R16" s="6">
        <f t="shared" si="2"/>
        <v>12.030303030303031</v>
      </c>
      <c r="S16" s="6">
        <v>1.083</v>
      </c>
      <c r="T16" s="5">
        <v>99</v>
      </c>
      <c r="U16" s="5">
        <v>361</v>
      </c>
      <c r="V16" s="6">
        <f t="shared" si="3"/>
        <v>3.6464646464646466</v>
      </c>
      <c r="W16" s="6">
        <v>0.59399999999999997</v>
      </c>
      <c r="X16" s="5">
        <v>99</v>
      </c>
      <c r="Z16" s="6">
        <f t="shared" si="4"/>
        <v>1.5949152542372882</v>
      </c>
      <c r="AA16" s="6">
        <f t="shared" si="5"/>
        <v>3.2991689750692523</v>
      </c>
      <c r="AB16" s="11">
        <f t="shared" si="9"/>
        <v>1.068554405197512</v>
      </c>
      <c r="AC16" t="s">
        <v>81</v>
      </c>
      <c r="AE16" t="s">
        <v>420</v>
      </c>
      <c r="AF16" s="4">
        <f t="shared" si="6"/>
        <v>0.39583333333333331</v>
      </c>
      <c r="AG16" s="4">
        <v>0.43055555555555558</v>
      </c>
      <c r="AH16" s="4">
        <f t="shared" si="7"/>
        <v>3.4722222222222265E-2</v>
      </c>
      <c r="AI16" s="4">
        <v>0.39583333333333331</v>
      </c>
      <c r="AJ16" s="4">
        <v>0.52083333333333337</v>
      </c>
      <c r="AK16" s="4">
        <f t="shared" si="8"/>
        <v>0.12500000000000006</v>
      </c>
      <c r="AM16" t="b">
        <v>1</v>
      </c>
    </row>
    <row r="17" spans="1:39" x14ac:dyDescent="0.3">
      <c r="A17" s="3" t="s">
        <v>76</v>
      </c>
      <c r="B17" t="s">
        <v>77</v>
      </c>
      <c r="C17" t="s">
        <v>29</v>
      </c>
      <c r="D17">
        <v>50</v>
      </c>
      <c r="E17" s="1">
        <v>25602</v>
      </c>
      <c r="F17" s="2">
        <v>44064.434618055559</v>
      </c>
      <c r="G17" t="s">
        <v>30</v>
      </c>
      <c r="H17" s="5">
        <v>1941</v>
      </c>
      <c r="I17" s="6">
        <f t="shared" si="0"/>
        <v>19.606060606060606</v>
      </c>
      <c r="J17" s="6">
        <v>1.2110000000000001</v>
      </c>
      <c r="K17" s="5">
        <v>99</v>
      </c>
      <c r="L17" s="5">
        <v>1223</v>
      </c>
      <c r="M17" s="6">
        <f t="shared" si="1"/>
        <v>12.353535353535353</v>
      </c>
      <c r="N17" s="6">
        <v>1.296</v>
      </c>
      <c r="O17" s="5">
        <v>99</v>
      </c>
      <c r="Q17" s="5">
        <v>1248</v>
      </c>
      <c r="R17" s="6">
        <f t="shared" si="2"/>
        <v>12.48</v>
      </c>
      <c r="S17" s="6">
        <v>1.2989999999999999</v>
      </c>
      <c r="T17" s="5">
        <v>100</v>
      </c>
      <c r="U17" s="5">
        <v>339</v>
      </c>
      <c r="V17" s="6">
        <f t="shared" si="3"/>
        <v>3.39</v>
      </c>
      <c r="W17" s="6">
        <v>0.61799999999999999</v>
      </c>
      <c r="X17" s="5">
        <v>100</v>
      </c>
      <c r="Z17" s="6">
        <f t="shared" si="4"/>
        <v>1.5870809484873263</v>
      </c>
      <c r="AA17" s="6">
        <f t="shared" si="5"/>
        <v>3.6814159292035398</v>
      </c>
      <c r="AB17" s="11">
        <f t="shared" si="9"/>
        <v>1.3196144674991905</v>
      </c>
      <c r="AC17" t="s">
        <v>78</v>
      </c>
      <c r="AE17" t="s">
        <v>420</v>
      </c>
      <c r="AF17" s="4">
        <f t="shared" si="6"/>
        <v>0.39583333333333331</v>
      </c>
      <c r="AG17" s="4">
        <v>0.44444444444444442</v>
      </c>
      <c r="AH17" s="4">
        <f t="shared" si="7"/>
        <v>4.8611111111111105E-2</v>
      </c>
      <c r="AI17" s="4">
        <v>0.39583333333333331</v>
      </c>
      <c r="AJ17" s="4">
        <v>0.53472222222222221</v>
      </c>
      <c r="AK17" s="4">
        <f t="shared" si="8"/>
        <v>0.1388888888888889</v>
      </c>
      <c r="AM17" t="b">
        <v>1</v>
      </c>
    </row>
    <row r="18" spans="1:39" x14ac:dyDescent="0.3">
      <c r="A18" s="3" t="s">
        <v>82</v>
      </c>
      <c r="B18" t="s">
        <v>83</v>
      </c>
      <c r="C18" t="s">
        <v>52</v>
      </c>
      <c r="D18">
        <v>77</v>
      </c>
      <c r="E18" s="1">
        <v>15885</v>
      </c>
      <c r="F18" s="2">
        <v>44067.425706018519</v>
      </c>
      <c r="G18" t="s">
        <v>30</v>
      </c>
      <c r="H18" s="5">
        <v>3380</v>
      </c>
      <c r="I18" s="6">
        <f t="shared" si="0"/>
        <v>33.799999999999997</v>
      </c>
      <c r="J18" s="6">
        <v>1.371</v>
      </c>
      <c r="K18" s="5">
        <v>100</v>
      </c>
      <c r="L18" s="5">
        <v>2016</v>
      </c>
      <c r="M18" s="6">
        <f t="shared" si="1"/>
        <v>20.16</v>
      </c>
      <c r="N18" s="6">
        <v>2.2679999999999998</v>
      </c>
      <c r="O18" s="5">
        <v>100</v>
      </c>
      <c r="Q18" s="5">
        <v>2591</v>
      </c>
      <c r="R18" s="6">
        <f t="shared" si="2"/>
        <v>26.171717171717173</v>
      </c>
      <c r="S18" s="6">
        <v>1.895</v>
      </c>
      <c r="T18" s="5">
        <v>99</v>
      </c>
      <c r="U18" s="5">
        <v>832</v>
      </c>
      <c r="V18" s="6">
        <f t="shared" si="3"/>
        <v>8.4040404040404049</v>
      </c>
      <c r="W18" s="6">
        <v>1.2030000000000001</v>
      </c>
      <c r="X18" s="5">
        <v>99</v>
      </c>
      <c r="Z18" s="6">
        <f t="shared" si="4"/>
        <v>1.6765873015873014</v>
      </c>
      <c r="AA18" s="6">
        <f t="shared" si="5"/>
        <v>3.1141826923076921</v>
      </c>
      <c r="AB18" s="11">
        <f t="shared" si="9"/>
        <v>0.85745334547109697</v>
      </c>
      <c r="AC18" t="s">
        <v>69</v>
      </c>
      <c r="AE18" t="s">
        <v>421</v>
      </c>
      <c r="AF18" s="4">
        <f t="shared" si="6"/>
        <v>0.3972222222222222</v>
      </c>
      <c r="AG18" s="4">
        <v>0.44444444444444442</v>
      </c>
      <c r="AH18" s="4">
        <f t="shared" si="7"/>
        <v>4.7222222222222221E-2</v>
      </c>
      <c r="AI18" s="4">
        <v>0.3972222222222222</v>
      </c>
      <c r="AJ18" s="4">
        <v>0.52430555555555558</v>
      </c>
      <c r="AK18" s="4">
        <f t="shared" si="8"/>
        <v>0.12708333333333338</v>
      </c>
      <c r="AM18" t="b">
        <v>1</v>
      </c>
    </row>
    <row r="19" spans="1:39" x14ac:dyDescent="0.3">
      <c r="A19" s="3" t="s">
        <v>84</v>
      </c>
      <c r="B19" t="s">
        <v>85</v>
      </c>
      <c r="C19" t="s">
        <v>29</v>
      </c>
      <c r="D19">
        <v>50</v>
      </c>
      <c r="E19" s="1">
        <v>25514</v>
      </c>
      <c r="F19" s="2">
        <v>44067.431689814817</v>
      </c>
      <c r="G19" t="s">
        <v>30</v>
      </c>
      <c r="H19" s="5">
        <v>3409</v>
      </c>
      <c r="I19" s="6">
        <f t="shared" si="0"/>
        <v>34.434343434343432</v>
      </c>
      <c r="J19" s="6">
        <v>5.5830000000000002</v>
      </c>
      <c r="K19" s="5">
        <v>99</v>
      </c>
      <c r="L19" s="5">
        <v>1302</v>
      </c>
      <c r="M19" s="6">
        <f t="shared" si="1"/>
        <v>13.151515151515152</v>
      </c>
      <c r="N19" s="6">
        <v>3.69</v>
      </c>
      <c r="O19" s="5">
        <v>99</v>
      </c>
      <c r="Q19" s="5">
        <v>2598</v>
      </c>
      <c r="R19" s="6">
        <f t="shared" si="2"/>
        <v>25.98</v>
      </c>
      <c r="S19" s="6">
        <v>5.0369999999999999</v>
      </c>
      <c r="T19" s="5">
        <v>100</v>
      </c>
      <c r="U19" s="5">
        <v>566</v>
      </c>
      <c r="V19" s="6">
        <f t="shared" si="3"/>
        <v>5.66</v>
      </c>
      <c r="W19" s="6">
        <v>2.371</v>
      </c>
      <c r="X19" s="5">
        <v>100</v>
      </c>
      <c r="Z19" s="6">
        <f t="shared" si="4"/>
        <v>2.618279569892473</v>
      </c>
      <c r="AA19" s="6">
        <f t="shared" si="5"/>
        <v>4.5901060070671376</v>
      </c>
      <c r="AB19" s="11">
        <f t="shared" si="9"/>
        <v>0.75310003555336269</v>
      </c>
      <c r="AC19" t="s">
        <v>72</v>
      </c>
      <c r="AE19" t="s">
        <v>420</v>
      </c>
      <c r="AF19" s="4">
        <f t="shared" si="6"/>
        <v>0.3659722222222222</v>
      </c>
      <c r="AG19" s="4">
        <v>0.44444444444444442</v>
      </c>
      <c r="AH19" s="4">
        <f t="shared" si="7"/>
        <v>7.8472222222222221E-2</v>
      </c>
      <c r="AI19" s="4">
        <v>0.3659722222222222</v>
      </c>
      <c r="AJ19" s="4">
        <v>0.52083333333333337</v>
      </c>
      <c r="AK19" s="4">
        <f t="shared" si="8"/>
        <v>0.15486111111111117</v>
      </c>
      <c r="AM19" t="b">
        <v>1</v>
      </c>
    </row>
    <row r="20" spans="1:39" x14ac:dyDescent="0.3">
      <c r="A20" s="3" t="s">
        <v>88</v>
      </c>
      <c r="B20" t="s">
        <v>89</v>
      </c>
      <c r="C20" t="s">
        <v>29</v>
      </c>
      <c r="D20">
        <v>50</v>
      </c>
      <c r="E20" s="1">
        <v>25659</v>
      </c>
      <c r="F20" s="2">
        <v>44068.413819444446</v>
      </c>
      <c r="G20" t="s">
        <v>30</v>
      </c>
      <c r="H20" s="5">
        <v>2962</v>
      </c>
      <c r="I20" s="6">
        <f t="shared" si="0"/>
        <v>29.62</v>
      </c>
      <c r="J20" s="6">
        <v>5.49</v>
      </c>
      <c r="K20" s="5">
        <v>100</v>
      </c>
      <c r="L20" s="5">
        <v>1364</v>
      </c>
      <c r="M20" s="6">
        <f t="shared" si="1"/>
        <v>13.64</v>
      </c>
      <c r="N20" s="6">
        <v>3.863</v>
      </c>
      <c r="O20" s="5">
        <v>100</v>
      </c>
      <c r="Q20" s="5">
        <v>1821</v>
      </c>
      <c r="R20" s="6">
        <f t="shared" si="2"/>
        <v>18.21</v>
      </c>
      <c r="S20" s="6">
        <v>4.468</v>
      </c>
      <c r="T20" s="5">
        <v>100</v>
      </c>
      <c r="U20" s="5">
        <v>456</v>
      </c>
      <c r="V20" s="6">
        <f t="shared" si="3"/>
        <v>4.5599999999999996</v>
      </c>
      <c r="W20" s="6">
        <v>1.9810000000000001</v>
      </c>
      <c r="X20" s="5">
        <v>100</v>
      </c>
      <c r="Z20" s="6">
        <f t="shared" si="4"/>
        <v>2.1715542521994133</v>
      </c>
      <c r="AA20" s="6">
        <f t="shared" si="5"/>
        <v>3.9934210526315796</v>
      </c>
      <c r="AB20" s="11">
        <f t="shared" si="9"/>
        <v>0.83896904651906656</v>
      </c>
      <c r="AC20" t="s">
        <v>72</v>
      </c>
      <c r="AE20" t="s">
        <v>421</v>
      </c>
      <c r="AF20" s="4">
        <f t="shared" si="6"/>
        <v>0.38819444444444445</v>
      </c>
      <c r="AG20" s="4">
        <v>0.4375</v>
      </c>
      <c r="AH20" s="4">
        <f t="shared" si="7"/>
        <v>4.9305555555555547E-2</v>
      </c>
      <c r="AI20" s="4">
        <v>0.38819444444444445</v>
      </c>
      <c r="AJ20" s="4">
        <v>0.52083333333333337</v>
      </c>
      <c r="AK20" s="4">
        <f t="shared" si="8"/>
        <v>0.13263888888888892</v>
      </c>
      <c r="AM20" t="b">
        <v>1</v>
      </c>
    </row>
    <row r="21" spans="1:39" x14ac:dyDescent="0.3">
      <c r="A21" s="3" t="s">
        <v>86</v>
      </c>
      <c r="B21" t="s">
        <v>87</v>
      </c>
      <c r="C21" t="s">
        <v>52</v>
      </c>
      <c r="D21">
        <v>79</v>
      </c>
      <c r="E21" s="1">
        <v>15154</v>
      </c>
      <c r="F21" s="2">
        <v>44068.435393518521</v>
      </c>
      <c r="G21" t="s">
        <v>30</v>
      </c>
      <c r="H21" s="5">
        <v>2971</v>
      </c>
      <c r="I21" s="6">
        <f t="shared" si="0"/>
        <v>29.71</v>
      </c>
      <c r="J21" s="6">
        <v>1.585</v>
      </c>
      <c r="K21" s="5">
        <v>100</v>
      </c>
      <c r="L21" s="5">
        <v>1414</v>
      </c>
      <c r="M21" s="6">
        <f t="shared" si="1"/>
        <v>14.14</v>
      </c>
      <c r="N21" s="6">
        <v>1.792</v>
      </c>
      <c r="O21" s="5">
        <v>100</v>
      </c>
      <c r="Q21" s="5">
        <v>2343</v>
      </c>
      <c r="R21" s="6">
        <f t="shared" si="2"/>
        <v>23.43</v>
      </c>
      <c r="S21" s="6">
        <v>2.4460000000000002</v>
      </c>
      <c r="T21" s="5">
        <v>100</v>
      </c>
      <c r="U21" s="5">
        <v>690</v>
      </c>
      <c r="V21" s="6">
        <f t="shared" si="3"/>
        <v>6.9</v>
      </c>
      <c r="W21" s="6">
        <v>0.75900000000000001</v>
      </c>
      <c r="X21" s="5">
        <v>100</v>
      </c>
      <c r="Z21" s="6">
        <f t="shared" si="4"/>
        <v>2.1011315417256009</v>
      </c>
      <c r="AA21" s="6">
        <f t="shared" si="5"/>
        <v>3.3956521739130432</v>
      </c>
      <c r="AB21" s="11">
        <f t="shared" si="9"/>
        <v>0.61610642003131721</v>
      </c>
      <c r="AC21" t="s">
        <v>69</v>
      </c>
      <c r="AE21" t="s">
        <v>421</v>
      </c>
      <c r="AF21" s="4">
        <f t="shared" si="6"/>
        <v>0.38055555555555554</v>
      </c>
      <c r="AG21" s="4">
        <v>0.4375</v>
      </c>
      <c r="AH21" s="4">
        <f t="shared" si="7"/>
        <v>5.6944444444444464E-2</v>
      </c>
      <c r="AI21" s="4">
        <v>0.38055555555555554</v>
      </c>
      <c r="AJ21" s="4">
        <v>0.51736111111111105</v>
      </c>
      <c r="AK21" s="4">
        <f t="shared" si="8"/>
        <v>0.13680555555555551</v>
      </c>
      <c r="AM21" t="b">
        <v>1</v>
      </c>
    </row>
    <row r="22" spans="1:39" x14ac:dyDescent="0.3">
      <c r="A22" s="3" t="s">
        <v>93</v>
      </c>
      <c r="B22" t="s">
        <v>94</v>
      </c>
      <c r="C22" t="s">
        <v>52</v>
      </c>
      <c r="D22">
        <v>82</v>
      </c>
      <c r="E22" s="1">
        <v>14025</v>
      </c>
      <c r="F22" s="2">
        <v>44069.406886574077</v>
      </c>
      <c r="G22" t="s">
        <v>30</v>
      </c>
      <c r="H22" s="5">
        <v>4636</v>
      </c>
      <c r="I22" s="6">
        <f t="shared" si="0"/>
        <v>46.828282828282831</v>
      </c>
      <c r="J22" s="6">
        <v>2.25</v>
      </c>
      <c r="K22" s="5">
        <v>99</v>
      </c>
      <c r="L22" s="5">
        <v>1453</v>
      </c>
      <c r="M22" s="6">
        <f t="shared" si="1"/>
        <v>14.676767676767676</v>
      </c>
      <c r="N22" s="6">
        <v>2.1749999999999998</v>
      </c>
      <c r="O22" s="5">
        <v>99</v>
      </c>
      <c r="Q22" s="5">
        <v>3407</v>
      </c>
      <c r="R22" s="6">
        <f t="shared" si="2"/>
        <v>34.414141414141412</v>
      </c>
      <c r="S22" s="6">
        <v>2.6030000000000002</v>
      </c>
      <c r="T22" s="5">
        <v>99</v>
      </c>
      <c r="U22" s="5">
        <v>782</v>
      </c>
      <c r="V22" s="6">
        <f t="shared" si="3"/>
        <v>7.8989898989898988</v>
      </c>
      <c r="W22" s="6">
        <v>1.411</v>
      </c>
      <c r="X22" s="5">
        <v>99</v>
      </c>
      <c r="Z22" s="6">
        <f t="shared" si="4"/>
        <v>3.1906400550584997</v>
      </c>
      <c r="AA22" s="6">
        <f t="shared" si="5"/>
        <v>4.3567774936061383</v>
      </c>
      <c r="AB22" s="11">
        <f t="shared" si="9"/>
        <v>0.36548699271132851</v>
      </c>
      <c r="AC22" t="s">
        <v>53</v>
      </c>
      <c r="AE22" t="s">
        <v>422</v>
      </c>
      <c r="AF22" s="4">
        <f t="shared" si="6"/>
        <v>0.37152777777777773</v>
      </c>
      <c r="AG22" s="4">
        <v>0.4375</v>
      </c>
      <c r="AH22" s="4">
        <f t="shared" si="7"/>
        <v>6.5972222222222265E-2</v>
      </c>
      <c r="AI22" s="4">
        <v>0.37152777777777773</v>
      </c>
      <c r="AJ22" s="4">
        <v>0.52083333333333337</v>
      </c>
      <c r="AK22" s="4">
        <f t="shared" si="8"/>
        <v>0.14930555555555564</v>
      </c>
      <c r="AM22" t="b">
        <v>1</v>
      </c>
    </row>
    <row r="23" spans="1:39" x14ac:dyDescent="0.3">
      <c r="A23" s="3" t="s">
        <v>90</v>
      </c>
      <c r="B23" t="s">
        <v>91</v>
      </c>
      <c r="C23" t="s">
        <v>29</v>
      </c>
      <c r="D23">
        <v>54</v>
      </c>
      <c r="E23" s="1">
        <v>24153</v>
      </c>
      <c r="F23" s="2">
        <v>44069.435277777775</v>
      </c>
      <c r="G23" t="s">
        <v>30</v>
      </c>
      <c r="H23" s="5">
        <v>2401</v>
      </c>
      <c r="I23" s="6">
        <f t="shared" si="0"/>
        <v>24.01</v>
      </c>
      <c r="J23" s="6">
        <v>5.1920000000000002</v>
      </c>
      <c r="K23" s="5">
        <v>100</v>
      </c>
      <c r="L23" s="5">
        <v>1565</v>
      </c>
      <c r="M23" s="6">
        <f t="shared" si="1"/>
        <v>15.65</v>
      </c>
      <c r="N23" s="6">
        <v>3.8250000000000002</v>
      </c>
      <c r="O23" s="5">
        <v>100</v>
      </c>
      <c r="Q23" s="5">
        <v>1770</v>
      </c>
      <c r="R23" s="6">
        <f t="shared" si="2"/>
        <v>17.878787878787879</v>
      </c>
      <c r="S23" s="6">
        <v>4.7469999999999999</v>
      </c>
      <c r="T23" s="5">
        <v>99</v>
      </c>
      <c r="U23" s="5">
        <v>579</v>
      </c>
      <c r="V23" s="6">
        <f t="shared" si="3"/>
        <v>5.8484848484848486</v>
      </c>
      <c r="W23" s="6">
        <v>2.4630000000000001</v>
      </c>
      <c r="X23" s="5">
        <v>99</v>
      </c>
      <c r="Z23" s="6">
        <f t="shared" si="4"/>
        <v>1.5341853035143771</v>
      </c>
      <c r="AA23" s="6">
        <f t="shared" si="5"/>
        <v>3.0569948186528495</v>
      </c>
      <c r="AB23" s="11">
        <f t="shared" si="9"/>
        <v>0.99258512752674266</v>
      </c>
      <c r="AC23" t="s">
        <v>92</v>
      </c>
      <c r="AE23" t="s">
        <v>420</v>
      </c>
      <c r="AF23" s="4">
        <f t="shared" si="6"/>
        <v>0.38263888888888892</v>
      </c>
      <c r="AG23" s="4">
        <v>0.44444444444444442</v>
      </c>
      <c r="AH23" s="4">
        <f t="shared" si="7"/>
        <v>6.1805555555555503E-2</v>
      </c>
      <c r="AI23" s="4">
        <v>0.38263888888888892</v>
      </c>
      <c r="AJ23" s="4">
        <v>0.52083333333333337</v>
      </c>
      <c r="AK23" s="4">
        <f t="shared" si="8"/>
        <v>0.13819444444444445</v>
      </c>
      <c r="AM23" t="b">
        <v>1</v>
      </c>
    </row>
    <row r="24" spans="1:39" x14ac:dyDescent="0.3">
      <c r="A24" s="3" t="s">
        <v>99</v>
      </c>
      <c r="B24" t="s">
        <v>100</v>
      </c>
      <c r="C24" t="s">
        <v>29</v>
      </c>
      <c r="D24">
        <v>52</v>
      </c>
      <c r="E24" s="1">
        <v>24899</v>
      </c>
      <c r="F24" s="2">
        <v>44070.405370370368</v>
      </c>
      <c r="G24" t="s">
        <v>30</v>
      </c>
      <c r="H24" s="5">
        <v>1810</v>
      </c>
      <c r="I24" s="6">
        <f t="shared" si="0"/>
        <v>18.282828282828284</v>
      </c>
      <c r="J24" s="6">
        <v>1.6719999999999999</v>
      </c>
      <c r="K24" s="5">
        <v>99</v>
      </c>
      <c r="L24" s="5">
        <v>1203</v>
      </c>
      <c r="M24" s="6">
        <f t="shared" si="1"/>
        <v>12.151515151515152</v>
      </c>
      <c r="N24" s="6">
        <v>1.232</v>
      </c>
      <c r="O24" s="5">
        <v>99</v>
      </c>
      <c r="Q24" s="5">
        <v>1153</v>
      </c>
      <c r="R24" s="6">
        <f t="shared" si="2"/>
        <v>11.646464646464647</v>
      </c>
      <c r="S24" s="6">
        <v>1.32</v>
      </c>
      <c r="T24" s="5">
        <v>99</v>
      </c>
      <c r="U24" s="5">
        <v>471</v>
      </c>
      <c r="V24" s="6">
        <f t="shared" si="3"/>
        <v>4.7575757575757578</v>
      </c>
      <c r="W24" s="6">
        <v>0.80900000000000005</v>
      </c>
      <c r="X24" s="5">
        <v>99</v>
      </c>
      <c r="Z24" s="6">
        <f t="shared" si="4"/>
        <v>1.5045719035743974</v>
      </c>
      <c r="AA24" s="6">
        <f t="shared" si="5"/>
        <v>2.4479830148619959</v>
      </c>
      <c r="AB24" s="11">
        <f t="shared" si="9"/>
        <v>0.62702959496076294</v>
      </c>
      <c r="AC24" t="s">
        <v>81</v>
      </c>
      <c r="AE24" t="s">
        <v>422</v>
      </c>
      <c r="AF24" s="4">
        <f t="shared" si="6"/>
        <v>0.37638888888888888</v>
      </c>
      <c r="AG24" s="4">
        <v>0.43055555555555558</v>
      </c>
      <c r="AH24" s="4">
        <f t="shared" si="7"/>
        <v>5.4166666666666696E-2</v>
      </c>
      <c r="AI24" s="4">
        <v>0.37638888888888888</v>
      </c>
      <c r="AJ24" s="4">
        <v>0.52083333333333337</v>
      </c>
      <c r="AK24" s="4">
        <f t="shared" si="8"/>
        <v>0.14444444444444449</v>
      </c>
      <c r="AM24" t="b">
        <v>1</v>
      </c>
    </row>
    <row r="25" spans="1:39" x14ac:dyDescent="0.3">
      <c r="A25" s="3" t="s">
        <v>95</v>
      </c>
      <c r="B25" t="s">
        <v>96</v>
      </c>
      <c r="C25" t="s">
        <v>52</v>
      </c>
      <c r="D25">
        <v>52</v>
      </c>
      <c r="E25" s="1">
        <v>25019</v>
      </c>
      <c r="F25" s="2">
        <v>44070.432662037034</v>
      </c>
      <c r="G25" t="s">
        <v>30</v>
      </c>
      <c r="H25" s="5">
        <v>1573</v>
      </c>
      <c r="I25" s="6">
        <f t="shared" si="0"/>
        <v>15.888888888888889</v>
      </c>
      <c r="J25" s="6">
        <v>4.0730000000000004</v>
      </c>
      <c r="K25" s="5">
        <v>99</v>
      </c>
      <c r="L25" s="5">
        <v>920</v>
      </c>
      <c r="M25" s="6">
        <f t="shared" si="1"/>
        <v>9.2929292929292924</v>
      </c>
      <c r="N25" s="6">
        <v>2.536</v>
      </c>
      <c r="O25" s="5">
        <v>99</v>
      </c>
      <c r="Q25" s="5">
        <v>1149</v>
      </c>
      <c r="R25" s="6">
        <f t="shared" si="2"/>
        <v>11.606060606060606</v>
      </c>
      <c r="S25" s="6">
        <v>3.4870000000000001</v>
      </c>
      <c r="T25" s="5">
        <v>99</v>
      </c>
      <c r="U25" s="5">
        <v>310</v>
      </c>
      <c r="V25" s="6">
        <f t="shared" si="3"/>
        <v>3.1313131313131315</v>
      </c>
      <c r="W25" s="6">
        <v>1.645</v>
      </c>
      <c r="X25" s="5">
        <v>99</v>
      </c>
      <c r="Z25" s="6">
        <f t="shared" si="4"/>
        <v>1.7097826086956522</v>
      </c>
      <c r="AA25" s="6">
        <f t="shared" si="5"/>
        <v>3.7064516129032254</v>
      </c>
      <c r="AB25" s="11">
        <f t="shared" si="9"/>
        <v>1.1677911531283962</v>
      </c>
      <c r="AC25" t="s">
        <v>31</v>
      </c>
      <c r="AE25" s="14" t="s">
        <v>421</v>
      </c>
      <c r="AF25" s="4">
        <f t="shared" si="6"/>
        <v>0.37986111111111115</v>
      </c>
      <c r="AG25" s="4">
        <v>0.4375</v>
      </c>
      <c r="AH25" s="4">
        <f t="shared" si="7"/>
        <v>5.7638888888888851E-2</v>
      </c>
      <c r="AI25" s="4">
        <v>0.37986111111111115</v>
      </c>
      <c r="AJ25" s="4">
        <v>0.52083333333333337</v>
      </c>
      <c r="AK25" s="4">
        <f t="shared" si="8"/>
        <v>0.14097222222222222</v>
      </c>
      <c r="AM25" t="b">
        <v>1</v>
      </c>
    </row>
    <row r="26" spans="1:39" x14ac:dyDescent="0.3">
      <c r="A26" s="3" t="s">
        <v>97</v>
      </c>
      <c r="B26" t="s">
        <v>98</v>
      </c>
      <c r="C26" t="s">
        <v>29</v>
      </c>
      <c r="D26">
        <v>50</v>
      </c>
      <c r="E26" s="1">
        <v>25546</v>
      </c>
      <c r="F26" s="2">
        <v>44070.435787037037</v>
      </c>
      <c r="G26" t="s">
        <v>30</v>
      </c>
      <c r="H26" s="5">
        <v>1696</v>
      </c>
      <c r="I26" s="6">
        <f t="shared" si="0"/>
        <v>17.131313131313131</v>
      </c>
      <c r="J26" s="6">
        <v>1.103</v>
      </c>
      <c r="K26" s="5">
        <v>99</v>
      </c>
      <c r="L26" s="5">
        <v>894</v>
      </c>
      <c r="M26" s="6">
        <f t="shared" si="1"/>
        <v>9.0303030303030312</v>
      </c>
      <c r="N26" s="6">
        <v>1.173</v>
      </c>
      <c r="O26" s="5">
        <v>99</v>
      </c>
      <c r="Q26" s="5">
        <v>1010</v>
      </c>
      <c r="R26" s="6">
        <f t="shared" si="2"/>
        <v>10.202020202020202</v>
      </c>
      <c r="S26" s="6">
        <v>1.45</v>
      </c>
      <c r="T26" s="5">
        <v>99</v>
      </c>
      <c r="U26" s="5">
        <v>278</v>
      </c>
      <c r="V26" s="6">
        <f t="shared" si="3"/>
        <v>2.808080808080808</v>
      </c>
      <c r="W26" s="6">
        <v>0.63400000000000001</v>
      </c>
      <c r="X26" s="5">
        <v>99</v>
      </c>
      <c r="Z26" s="6">
        <f t="shared" si="4"/>
        <v>1.8970917225950781</v>
      </c>
      <c r="AA26" s="6">
        <f t="shared" si="5"/>
        <v>3.6330935251798566</v>
      </c>
      <c r="AB26" s="11">
        <f t="shared" si="9"/>
        <v>0.91508585584362745</v>
      </c>
      <c r="AC26" t="s">
        <v>81</v>
      </c>
      <c r="AE26" t="s">
        <v>420</v>
      </c>
      <c r="AF26" s="4">
        <f t="shared" si="6"/>
        <v>0.38819444444444445</v>
      </c>
      <c r="AG26" s="4">
        <v>0.44444444444444442</v>
      </c>
      <c r="AH26" s="4">
        <f t="shared" si="7"/>
        <v>5.6249999999999967E-2</v>
      </c>
      <c r="AI26" s="4">
        <v>0.38819444444444445</v>
      </c>
      <c r="AJ26" s="4">
        <v>0.53472222222222221</v>
      </c>
      <c r="AK26" s="4">
        <f t="shared" si="8"/>
        <v>0.14652777777777776</v>
      </c>
      <c r="AM26" t="b">
        <v>1</v>
      </c>
    </row>
    <row r="27" spans="1:39" x14ac:dyDescent="0.3">
      <c r="A27" s="3" t="s">
        <v>101</v>
      </c>
      <c r="B27" t="s">
        <v>102</v>
      </c>
      <c r="C27" t="s">
        <v>29</v>
      </c>
      <c r="D27">
        <v>50</v>
      </c>
      <c r="E27" s="1">
        <v>25631</v>
      </c>
      <c r="F27" s="2">
        <v>44071.450069444443</v>
      </c>
      <c r="G27" t="s">
        <v>30</v>
      </c>
      <c r="H27" s="5">
        <v>1942</v>
      </c>
      <c r="I27" s="6">
        <f t="shared" si="0"/>
        <v>19.420000000000002</v>
      </c>
      <c r="J27" s="6">
        <v>4.5199999999999996</v>
      </c>
      <c r="K27" s="5">
        <v>100</v>
      </c>
      <c r="L27" s="5">
        <v>1004</v>
      </c>
      <c r="M27" s="6">
        <f t="shared" si="1"/>
        <v>10.039999999999999</v>
      </c>
      <c r="N27" s="6">
        <v>3.3540000000000001</v>
      </c>
      <c r="O27" s="5">
        <v>100</v>
      </c>
      <c r="Q27" s="5">
        <v>1345</v>
      </c>
      <c r="R27" s="6">
        <f t="shared" si="2"/>
        <v>13.585858585858587</v>
      </c>
      <c r="S27" s="6">
        <v>3.9329999999999998</v>
      </c>
      <c r="T27" s="5">
        <v>99</v>
      </c>
      <c r="U27" s="5">
        <v>467</v>
      </c>
      <c r="V27" s="6">
        <f t="shared" si="3"/>
        <v>4.7171717171717171</v>
      </c>
      <c r="W27" s="6">
        <v>2.09</v>
      </c>
      <c r="X27" s="5">
        <v>99</v>
      </c>
      <c r="Z27" s="6">
        <f t="shared" si="4"/>
        <v>1.9342629482071716</v>
      </c>
      <c r="AA27" s="6">
        <f t="shared" si="5"/>
        <v>2.880085653104925</v>
      </c>
      <c r="AB27" s="11">
        <f t="shared" si="9"/>
        <v>0.48898351993684053</v>
      </c>
      <c r="AC27" t="s">
        <v>31</v>
      </c>
      <c r="AE27" t="s">
        <v>420</v>
      </c>
      <c r="AF27" s="4">
        <f t="shared" si="6"/>
        <v>0.37777777777777777</v>
      </c>
      <c r="AG27" s="4">
        <v>0.44791666666666669</v>
      </c>
      <c r="AH27" s="4">
        <f t="shared" si="7"/>
        <v>7.0138888888888917E-2</v>
      </c>
      <c r="AI27" s="4">
        <v>0.37777777777777777</v>
      </c>
      <c r="AJ27" s="4">
        <v>0.52083333333333337</v>
      </c>
      <c r="AK27" s="4">
        <f t="shared" si="8"/>
        <v>0.1430555555555556</v>
      </c>
      <c r="AM27" t="b">
        <v>1</v>
      </c>
    </row>
    <row r="28" spans="1:39" x14ac:dyDescent="0.3">
      <c r="A28" s="3" t="s">
        <v>103</v>
      </c>
      <c r="B28" t="s">
        <v>104</v>
      </c>
      <c r="C28" t="s">
        <v>52</v>
      </c>
      <c r="D28">
        <v>66</v>
      </c>
      <c r="E28" s="1">
        <v>19884</v>
      </c>
      <c r="F28" s="2">
        <v>44074.414479166669</v>
      </c>
      <c r="G28" t="s">
        <v>30</v>
      </c>
      <c r="H28" s="5">
        <v>1977</v>
      </c>
      <c r="I28" s="6">
        <f t="shared" si="0"/>
        <v>19.969696969696969</v>
      </c>
      <c r="J28" s="6">
        <v>1.5609999999999999</v>
      </c>
      <c r="K28" s="5">
        <v>99</v>
      </c>
      <c r="L28" s="5">
        <v>1106</v>
      </c>
      <c r="M28" s="6">
        <f t="shared" si="1"/>
        <v>11.171717171717171</v>
      </c>
      <c r="N28" s="6">
        <v>1.0880000000000001</v>
      </c>
      <c r="O28" s="5">
        <v>99</v>
      </c>
      <c r="Q28" s="5">
        <v>1410</v>
      </c>
      <c r="R28" s="6">
        <f t="shared" si="2"/>
        <v>14.242424242424242</v>
      </c>
      <c r="S28" s="6">
        <v>1.5780000000000001</v>
      </c>
      <c r="T28" s="5">
        <v>99</v>
      </c>
      <c r="U28" s="5">
        <v>486</v>
      </c>
      <c r="V28" s="6">
        <f t="shared" si="3"/>
        <v>4.9090909090909092</v>
      </c>
      <c r="W28" s="6">
        <v>0.90500000000000003</v>
      </c>
      <c r="X28" s="5">
        <v>99</v>
      </c>
      <c r="Z28" s="6">
        <f t="shared" si="4"/>
        <v>1.7875226039783001</v>
      </c>
      <c r="AA28" s="6">
        <f t="shared" si="5"/>
        <v>2.9012345679012346</v>
      </c>
      <c r="AB28" s="11">
        <f t="shared" si="9"/>
        <v>0.62304776535091833</v>
      </c>
      <c r="AC28" t="s">
        <v>39</v>
      </c>
      <c r="AE28" t="s">
        <v>421</v>
      </c>
      <c r="AF28" s="4">
        <f t="shared" si="6"/>
        <v>0.38125000000000003</v>
      </c>
      <c r="AG28" s="4">
        <v>0.43055555555555558</v>
      </c>
      <c r="AH28" s="4">
        <f t="shared" si="7"/>
        <v>4.9305555555555547E-2</v>
      </c>
      <c r="AI28" s="4">
        <v>0.38125000000000003</v>
      </c>
      <c r="AJ28" s="4">
        <v>0.52083333333333337</v>
      </c>
      <c r="AK28" s="4">
        <f t="shared" si="8"/>
        <v>0.13958333333333334</v>
      </c>
      <c r="AM28" t="b">
        <v>1</v>
      </c>
    </row>
    <row r="29" spans="1:39" x14ac:dyDescent="0.3">
      <c r="A29" s="3" t="s">
        <v>105</v>
      </c>
      <c r="B29" t="s">
        <v>106</v>
      </c>
      <c r="C29" t="s">
        <v>29</v>
      </c>
      <c r="D29">
        <v>59</v>
      </c>
      <c r="E29" s="1">
        <v>22345</v>
      </c>
      <c r="F29" s="2">
        <v>44074.417881944442</v>
      </c>
      <c r="G29" t="s">
        <v>30</v>
      </c>
      <c r="H29" s="5">
        <v>4481</v>
      </c>
      <c r="I29" s="6">
        <f t="shared" si="0"/>
        <v>44.81</v>
      </c>
      <c r="J29" s="6">
        <v>7.9630000000000001</v>
      </c>
      <c r="K29" s="5">
        <v>100</v>
      </c>
      <c r="L29" s="5">
        <v>2272</v>
      </c>
      <c r="M29" s="6">
        <f t="shared" si="1"/>
        <v>22.72</v>
      </c>
      <c r="N29" s="6">
        <v>4.8099999999999996</v>
      </c>
      <c r="O29" s="5">
        <v>100</v>
      </c>
      <c r="Q29" s="5">
        <v>3184</v>
      </c>
      <c r="R29" s="6">
        <f t="shared" si="2"/>
        <v>32.161616161616159</v>
      </c>
      <c r="S29" s="6">
        <v>7.3490000000000002</v>
      </c>
      <c r="T29" s="5">
        <v>99</v>
      </c>
      <c r="U29" s="5">
        <v>787</v>
      </c>
      <c r="V29" s="6">
        <f t="shared" si="3"/>
        <v>7.9494949494949498</v>
      </c>
      <c r="W29" s="6">
        <v>2.6589999999999998</v>
      </c>
      <c r="X29" s="5">
        <v>99</v>
      </c>
      <c r="Z29" s="6">
        <f t="shared" si="4"/>
        <v>1.9722711267605635</v>
      </c>
      <c r="AA29" s="6">
        <f t="shared" si="5"/>
        <v>4.0457433290978395</v>
      </c>
      <c r="AB29" s="11">
        <f t="shared" si="9"/>
        <v>1.0513119490538476</v>
      </c>
      <c r="AC29" t="s">
        <v>72</v>
      </c>
      <c r="AE29" t="s">
        <v>421</v>
      </c>
      <c r="AF29" s="4">
        <f t="shared" si="6"/>
        <v>0.39583333333333331</v>
      </c>
      <c r="AG29" s="4">
        <v>0.4375</v>
      </c>
      <c r="AH29" s="4">
        <f t="shared" si="7"/>
        <v>4.1666666666666685E-2</v>
      </c>
      <c r="AI29" s="4">
        <v>0.39583333333333331</v>
      </c>
      <c r="AJ29" s="4">
        <v>0.52083333333333337</v>
      </c>
      <c r="AK29" s="4">
        <f t="shared" si="8"/>
        <v>0.12500000000000006</v>
      </c>
      <c r="AM29" t="b">
        <v>1</v>
      </c>
    </row>
    <row r="30" spans="1:39" x14ac:dyDescent="0.3">
      <c r="A30" s="3" t="s">
        <v>107</v>
      </c>
      <c r="B30" t="s">
        <v>108</v>
      </c>
      <c r="C30" t="s">
        <v>29</v>
      </c>
      <c r="D30">
        <v>52</v>
      </c>
      <c r="E30" s="1">
        <v>24981</v>
      </c>
      <c r="F30" s="2">
        <v>44074.441203703704</v>
      </c>
      <c r="G30" t="s">
        <v>30</v>
      </c>
      <c r="H30" s="5">
        <v>2395</v>
      </c>
      <c r="I30" s="6">
        <f t="shared" si="0"/>
        <v>24.19191919191919</v>
      </c>
      <c r="J30" s="6">
        <v>1.85</v>
      </c>
      <c r="K30" s="5">
        <v>99</v>
      </c>
      <c r="L30" s="5">
        <v>1210</v>
      </c>
      <c r="M30" s="6">
        <f t="shared" si="1"/>
        <v>12.222222222222221</v>
      </c>
      <c r="N30" s="6">
        <v>1.1739999999999999</v>
      </c>
      <c r="O30" s="5">
        <v>99</v>
      </c>
      <c r="Q30" s="5">
        <v>1795</v>
      </c>
      <c r="R30" s="6">
        <f t="shared" si="2"/>
        <v>17.95</v>
      </c>
      <c r="S30" s="6">
        <v>1.1579999999999999</v>
      </c>
      <c r="T30" s="5">
        <v>100</v>
      </c>
      <c r="U30" s="5">
        <v>447</v>
      </c>
      <c r="V30" s="6">
        <f t="shared" si="3"/>
        <v>4.47</v>
      </c>
      <c r="W30" s="6">
        <v>0.81</v>
      </c>
      <c r="X30" s="5">
        <v>100</v>
      </c>
      <c r="Z30" s="6">
        <f t="shared" si="4"/>
        <v>1.9793388429752066</v>
      </c>
      <c r="AA30" s="6">
        <f t="shared" si="5"/>
        <v>4.0156599552572709</v>
      </c>
      <c r="AB30" s="11">
        <f t="shared" si="9"/>
        <v>1.0287885368940701</v>
      </c>
      <c r="AC30" t="s">
        <v>39</v>
      </c>
      <c r="AE30" t="s">
        <v>421</v>
      </c>
      <c r="AF30" s="4">
        <f t="shared" si="6"/>
        <v>0.40138888888888885</v>
      </c>
      <c r="AG30" s="4">
        <v>0.44444444444444442</v>
      </c>
      <c r="AH30" s="4">
        <f t="shared" si="7"/>
        <v>4.3055555555555569E-2</v>
      </c>
      <c r="AI30" s="4">
        <v>0.40138888888888885</v>
      </c>
      <c r="AJ30" s="4">
        <v>0.53472222222222221</v>
      </c>
      <c r="AK30" s="4">
        <f t="shared" si="8"/>
        <v>0.13333333333333336</v>
      </c>
      <c r="AM30" t="b">
        <v>1</v>
      </c>
    </row>
    <row r="31" spans="1:39" x14ac:dyDescent="0.3">
      <c r="A31" s="3" t="s">
        <v>111</v>
      </c>
      <c r="B31" t="s">
        <v>112</v>
      </c>
      <c r="C31" t="s">
        <v>29</v>
      </c>
      <c r="D31">
        <v>47</v>
      </c>
      <c r="E31" s="1">
        <v>26886</v>
      </c>
      <c r="F31" s="2">
        <v>44075.425798611112</v>
      </c>
      <c r="G31" t="s">
        <v>30</v>
      </c>
      <c r="H31" s="5">
        <v>2503</v>
      </c>
      <c r="I31" s="6">
        <f t="shared" si="0"/>
        <v>25.282828282828284</v>
      </c>
      <c r="J31" s="6">
        <v>2.7109999999999999</v>
      </c>
      <c r="K31" s="5">
        <v>99</v>
      </c>
      <c r="L31" s="5">
        <v>1173</v>
      </c>
      <c r="M31" s="6">
        <f t="shared" si="1"/>
        <v>11.848484848484848</v>
      </c>
      <c r="N31" s="6">
        <v>1.2070000000000001</v>
      </c>
      <c r="O31" s="5">
        <v>99</v>
      </c>
      <c r="Q31" s="5">
        <v>1959</v>
      </c>
      <c r="R31" s="6">
        <f t="shared" si="2"/>
        <v>19.59</v>
      </c>
      <c r="S31" s="6">
        <v>2.4249999999999998</v>
      </c>
      <c r="T31" s="5">
        <v>100</v>
      </c>
      <c r="U31" s="5">
        <v>463</v>
      </c>
      <c r="V31" s="6">
        <f t="shared" si="3"/>
        <v>4.63</v>
      </c>
      <c r="W31" s="6">
        <v>0.61399999999999999</v>
      </c>
      <c r="X31" s="5">
        <v>100</v>
      </c>
      <c r="Z31" s="6">
        <f t="shared" si="4"/>
        <v>2.13384484228474</v>
      </c>
      <c r="AA31" s="6">
        <f t="shared" si="5"/>
        <v>4.23110151187905</v>
      </c>
      <c r="AB31" s="11">
        <f t="shared" si="9"/>
        <v>0.98285340528730547</v>
      </c>
      <c r="AC31" t="s">
        <v>39</v>
      </c>
      <c r="AE31" t="s">
        <v>422</v>
      </c>
      <c r="AF31" s="4">
        <v>0.375</v>
      </c>
      <c r="AG31" s="4">
        <v>0.43055555555555558</v>
      </c>
      <c r="AH31" s="4">
        <f t="shared" si="7"/>
        <v>5.555555555555558E-2</v>
      </c>
      <c r="AI31" s="4">
        <f t="shared" ref="AI31:AI62" si="10">AF31</f>
        <v>0.375</v>
      </c>
      <c r="AJ31" s="4">
        <v>0.51736111111111105</v>
      </c>
      <c r="AK31" s="4">
        <f t="shared" si="8"/>
        <v>0.14236111111111105</v>
      </c>
      <c r="AM31" t="b">
        <v>1</v>
      </c>
    </row>
    <row r="32" spans="1:39" x14ac:dyDescent="0.3">
      <c r="A32" s="3" t="s">
        <v>113</v>
      </c>
      <c r="B32" t="s">
        <v>114</v>
      </c>
      <c r="C32" t="s">
        <v>29</v>
      </c>
      <c r="D32">
        <v>38</v>
      </c>
      <c r="E32" s="1">
        <v>29923</v>
      </c>
      <c r="F32" s="2">
        <v>44075.438113425924</v>
      </c>
      <c r="G32" t="s">
        <v>30</v>
      </c>
      <c r="H32" s="5">
        <v>1961</v>
      </c>
      <c r="I32" s="6">
        <f t="shared" si="0"/>
        <v>19.80808080808081</v>
      </c>
      <c r="J32" s="6">
        <v>1.6020000000000001</v>
      </c>
      <c r="K32" s="5">
        <v>99</v>
      </c>
      <c r="L32" s="5">
        <v>1317</v>
      </c>
      <c r="M32" s="6">
        <f t="shared" si="1"/>
        <v>13.303030303030303</v>
      </c>
      <c r="N32" s="6">
        <v>1.0640000000000001</v>
      </c>
      <c r="O32" s="5">
        <v>99</v>
      </c>
      <c r="Q32" s="5">
        <v>1085</v>
      </c>
      <c r="R32" s="6">
        <f t="shared" si="2"/>
        <v>10.95959595959596</v>
      </c>
      <c r="S32" s="6">
        <v>0.95699999999999996</v>
      </c>
      <c r="T32" s="5">
        <v>99</v>
      </c>
      <c r="U32" s="5">
        <v>345</v>
      </c>
      <c r="V32" s="6">
        <f t="shared" si="3"/>
        <v>3.4848484848484849</v>
      </c>
      <c r="W32" s="6">
        <v>0.61199999999999999</v>
      </c>
      <c r="X32" s="5">
        <v>99</v>
      </c>
      <c r="Z32" s="6">
        <f t="shared" si="4"/>
        <v>1.4889901290812455</v>
      </c>
      <c r="AA32" s="6">
        <f t="shared" si="5"/>
        <v>3.1449275362318843</v>
      </c>
      <c r="AB32" s="11">
        <f t="shared" si="9"/>
        <v>1.1121211449349264</v>
      </c>
      <c r="AC32" t="s">
        <v>39</v>
      </c>
      <c r="AE32" t="s">
        <v>421</v>
      </c>
      <c r="AF32" s="4">
        <v>0.39930555555555558</v>
      </c>
      <c r="AG32" s="4">
        <v>0.4375</v>
      </c>
      <c r="AH32" s="4">
        <f t="shared" si="7"/>
        <v>3.819444444444442E-2</v>
      </c>
      <c r="AI32" s="4">
        <f t="shared" si="10"/>
        <v>0.39930555555555558</v>
      </c>
      <c r="AJ32" s="4">
        <v>0.54861111111111105</v>
      </c>
      <c r="AK32" s="4">
        <f t="shared" si="8"/>
        <v>0.14930555555555547</v>
      </c>
      <c r="AM32" t="b">
        <v>1</v>
      </c>
    </row>
    <row r="33" spans="1:39" x14ac:dyDescent="0.3">
      <c r="A33" s="3" t="s">
        <v>115</v>
      </c>
      <c r="B33" t="s">
        <v>116</v>
      </c>
      <c r="C33" t="s">
        <v>29</v>
      </c>
      <c r="D33">
        <v>55</v>
      </c>
      <c r="E33" s="1">
        <v>23763</v>
      </c>
      <c r="F33" s="2">
        <v>44076.401828703703</v>
      </c>
      <c r="G33" t="s">
        <v>30</v>
      </c>
      <c r="H33" s="5">
        <v>3462</v>
      </c>
      <c r="I33" s="6">
        <f t="shared" si="0"/>
        <v>34.969696969696969</v>
      </c>
      <c r="J33" s="6">
        <v>6.375</v>
      </c>
      <c r="K33" s="5">
        <v>99</v>
      </c>
      <c r="L33" s="5">
        <v>1858</v>
      </c>
      <c r="M33" s="6">
        <f t="shared" si="1"/>
        <v>18.767676767676768</v>
      </c>
      <c r="N33" s="6">
        <v>4.4969999999999999</v>
      </c>
      <c r="O33" s="5">
        <v>99</v>
      </c>
      <c r="Q33" s="5">
        <v>2126</v>
      </c>
      <c r="R33" s="6">
        <f t="shared" si="2"/>
        <v>21.26</v>
      </c>
      <c r="S33" s="6">
        <v>5.0119999999999996</v>
      </c>
      <c r="T33" s="5">
        <v>100</v>
      </c>
      <c r="U33" s="5">
        <v>731</v>
      </c>
      <c r="V33" s="6">
        <f t="shared" si="3"/>
        <v>7.31</v>
      </c>
      <c r="W33" s="6">
        <v>2.9049999999999998</v>
      </c>
      <c r="X33" s="5">
        <v>100</v>
      </c>
      <c r="Z33" s="6">
        <f t="shared" si="4"/>
        <v>1.8632938643702905</v>
      </c>
      <c r="AA33" s="6">
        <f t="shared" si="5"/>
        <v>2.9083447332421346</v>
      </c>
      <c r="AB33" s="11">
        <f t="shared" si="9"/>
        <v>0.56086207809471011</v>
      </c>
      <c r="AC33" t="s">
        <v>40</v>
      </c>
      <c r="AE33" t="s">
        <v>421</v>
      </c>
      <c r="AF33" s="4">
        <v>0.38819444444444445</v>
      </c>
      <c r="AG33" s="4">
        <v>0.4375</v>
      </c>
      <c r="AH33" s="4">
        <f t="shared" si="7"/>
        <v>4.9305555555555547E-2</v>
      </c>
      <c r="AI33" s="4">
        <f t="shared" si="10"/>
        <v>0.38819444444444445</v>
      </c>
      <c r="AJ33" s="4">
        <v>0.53472222222222221</v>
      </c>
      <c r="AK33" s="4">
        <f t="shared" si="8"/>
        <v>0.14652777777777776</v>
      </c>
      <c r="AM33" t="b">
        <v>1</v>
      </c>
    </row>
    <row r="34" spans="1:39" x14ac:dyDescent="0.3">
      <c r="A34" s="3" t="s">
        <v>117</v>
      </c>
      <c r="B34" t="s">
        <v>118</v>
      </c>
      <c r="C34" t="s">
        <v>29</v>
      </c>
      <c r="D34">
        <v>44</v>
      </c>
      <c r="E34" s="1">
        <v>27837</v>
      </c>
      <c r="F34" s="2">
        <v>44077.408506944441</v>
      </c>
      <c r="G34" t="s">
        <v>30</v>
      </c>
      <c r="H34" s="5">
        <v>3597</v>
      </c>
      <c r="I34" s="6">
        <f t="shared" ref="I34:I65" si="11">H34/K34</f>
        <v>36.333333333333336</v>
      </c>
      <c r="J34" s="6">
        <v>6.6020000000000003</v>
      </c>
      <c r="K34" s="5">
        <v>99</v>
      </c>
      <c r="L34" s="5">
        <v>1436</v>
      </c>
      <c r="M34" s="6">
        <f t="shared" ref="M34:M65" si="12">L34/O34</f>
        <v>14.505050505050505</v>
      </c>
      <c r="N34" s="6">
        <v>3.9929999999999999</v>
      </c>
      <c r="O34" s="5">
        <v>99</v>
      </c>
      <c r="Q34" s="5">
        <v>2197</v>
      </c>
      <c r="R34" s="6">
        <f t="shared" ref="R34:R65" si="13">Q34/T34</f>
        <v>22.19191919191919</v>
      </c>
      <c r="S34" s="6">
        <v>5.742</v>
      </c>
      <c r="T34" s="5">
        <v>99</v>
      </c>
      <c r="U34" s="5">
        <v>549</v>
      </c>
      <c r="V34" s="6">
        <f t="shared" ref="V34:V65" si="14">U34/X34</f>
        <v>5.5454545454545459</v>
      </c>
      <c r="W34" s="6">
        <v>2.524</v>
      </c>
      <c r="X34" s="5">
        <v>99</v>
      </c>
      <c r="Z34" s="6">
        <f t="shared" ref="Z34:Z65" si="15">I34/M34</f>
        <v>2.5048746518105851</v>
      </c>
      <c r="AA34" s="6">
        <f t="shared" ref="AA34:AA65" si="16">R34/V34</f>
        <v>4.0018214936247718</v>
      </c>
      <c r="AB34" s="11">
        <f t="shared" ref="AB34:AB65" si="17">(AA34-Z34)/Z34</f>
        <v>0.59761347368506312</v>
      </c>
      <c r="AC34" t="s">
        <v>40</v>
      </c>
      <c r="AE34" t="s">
        <v>420</v>
      </c>
      <c r="AF34" s="4">
        <v>0.36736111111111108</v>
      </c>
      <c r="AG34" s="4">
        <v>0.43055555555555558</v>
      </c>
      <c r="AH34" s="4">
        <f t="shared" ref="AH34:AH65" si="18">AG34-AF34</f>
        <v>6.3194444444444497E-2</v>
      </c>
      <c r="AI34" s="4">
        <f t="shared" si="10"/>
        <v>0.36736111111111108</v>
      </c>
      <c r="AJ34" s="4">
        <v>0.52083333333333337</v>
      </c>
      <c r="AK34" s="4">
        <f t="shared" ref="AK34:AK65" si="19">AJ34-AI34</f>
        <v>0.15347222222222229</v>
      </c>
      <c r="AM34" t="b">
        <v>1</v>
      </c>
    </row>
    <row r="35" spans="1:39" x14ac:dyDescent="0.3">
      <c r="A35" s="3" t="s">
        <v>119</v>
      </c>
      <c r="B35" t="s">
        <v>120</v>
      </c>
      <c r="C35" t="s">
        <v>52</v>
      </c>
      <c r="D35">
        <v>66</v>
      </c>
      <c r="E35" s="1">
        <v>19747</v>
      </c>
      <c r="F35" s="2">
        <v>44077.430011574077</v>
      </c>
      <c r="G35" t="s">
        <v>30</v>
      </c>
      <c r="H35" s="5">
        <v>3942</v>
      </c>
      <c r="I35" s="6">
        <f t="shared" si="11"/>
        <v>39.42</v>
      </c>
      <c r="J35" s="6">
        <v>3.319</v>
      </c>
      <c r="K35" s="5">
        <v>100</v>
      </c>
      <c r="L35" s="5">
        <v>2108</v>
      </c>
      <c r="M35" s="6">
        <f t="shared" si="12"/>
        <v>21.08</v>
      </c>
      <c r="N35" s="6">
        <v>1.4610000000000001</v>
      </c>
      <c r="O35" s="5">
        <v>100</v>
      </c>
      <c r="Q35" s="5">
        <v>3662</v>
      </c>
      <c r="R35" s="6">
        <f t="shared" si="13"/>
        <v>36.619999999999997</v>
      </c>
      <c r="S35" s="6">
        <v>3.2589999999999999</v>
      </c>
      <c r="T35" s="5">
        <v>100</v>
      </c>
      <c r="U35" s="5">
        <v>1043</v>
      </c>
      <c r="V35" s="6">
        <f t="shared" si="14"/>
        <v>10.43</v>
      </c>
      <c r="W35" s="7">
        <v>1.2969999999999999</v>
      </c>
      <c r="X35" s="5">
        <v>100</v>
      </c>
      <c r="Z35" s="6">
        <f t="shared" si="15"/>
        <v>1.8700189753320686</v>
      </c>
      <c r="AA35" s="6">
        <f t="shared" si="16"/>
        <v>3.5110258868648128</v>
      </c>
      <c r="AB35" s="11">
        <f t="shared" si="17"/>
        <v>0.87753489840462306</v>
      </c>
      <c r="AC35" t="s">
        <v>39</v>
      </c>
      <c r="AE35" t="s">
        <v>420</v>
      </c>
      <c r="AF35" s="4">
        <v>0.37222222222222223</v>
      </c>
      <c r="AG35" s="4">
        <v>0.43055555555555558</v>
      </c>
      <c r="AH35" s="4">
        <f t="shared" si="18"/>
        <v>5.8333333333333348E-2</v>
      </c>
      <c r="AI35" s="4">
        <f t="shared" si="10"/>
        <v>0.37222222222222223</v>
      </c>
      <c r="AJ35" s="4">
        <v>0.53472222222222221</v>
      </c>
      <c r="AK35" s="4">
        <f t="shared" si="19"/>
        <v>0.16249999999999998</v>
      </c>
      <c r="AM35" t="b">
        <v>1</v>
      </c>
    </row>
    <row r="36" spans="1:39" x14ac:dyDescent="0.3">
      <c r="A36" s="3" t="s">
        <v>121</v>
      </c>
      <c r="B36" t="s">
        <v>122</v>
      </c>
      <c r="C36" t="s">
        <v>29</v>
      </c>
      <c r="D36">
        <v>47</v>
      </c>
      <c r="E36" s="1">
        <v>26840</v>
      </c>
      <c r="F36" s="2">
        <v>44078.414340277777</v>
      </c>
      <c r="G36" t="s">
        <v>30</v>
      </c>
      <c r="H36" s="5">
        <v>1810</v>
      </c>
      <c r="I36" s="6">
        <f t="shared" si="11"/>
        <v>18.282828282828284</v>
      </c>
      <c r="J36" s="6">
        <v>1.478</v>
      </c>
      <c r="K36" s="5">
        <v>99</v>
      </c>
      <c r="L36" s="5">
        <v>763</v>
      </c>
      <c r="M36" s="6">
        <f t="shared" si="12"/>
        <v>7.7070707070707067</v>
      </c>
      <c r="N36" s="6">
        <v>1.0900000000000001</v>
      </c>
      <c r="O36" s="5">
        <v>99</v>
      </c>
      <c r="Q36" s="5">
        <v>1499</v>
      </c>
      <c r="R36" s="6">
        <f t="shared" si="13"/>
        <v>14.99</v>
      </c>
      <c r="S36" s="6">
        <v>1.5669999999999999</v>
      </c>
      <c r="T36" s="5">
        <v>100</v>
      </c>
      <c r="U36" s="5">
        <v>341</v>
      </c>
      <c r="V36" s="6">
        <f t="shared" si="14"/>
        <v>3.41</v>
      </c>
      <c r="W36" s="7">
        <v>0.63700000000000001</v>
      </c>
      <c r="X36" s="5">
        <v>100</v>
      </c>
      <c r="Z36" s="6">
        <f t="shared" si="15"/>
        <v>2.3722149410222806</v>
      </c>
      <c r="AA36" s="6">
        <f t="shared" si="16"/>
        <v>4.3958944281524923</v>
      </c>
      <c r="AB36" s="11">
        <f t="shared" si="17"/>
        <v>0.8530759384974318</v>
      </c>
      <c r="AC36" t="s">
        <v>39</v>
      </c>
      <c r="AE36" t="s">
        <v>420</v>
      </c>
      <c r="AF36" s="4">
        <v>0.3666666666666667</v>
      </c>
      <c r="AG36" s="4">
        <v>0.42708333333333331</v>
      </c>
      <c r="AH36" s="4">
        <f t="shared" si="18"/>
        <v>6.0416666666666619E-2</v>
      </c>
      <c r="AI36" s="4">
        <f t="shared" si="10"/>
        <v>0.3666666666666667</v>
      </c>
      <c r="AJ36" s="4">
        <v>0.52083333333333337</v>
      </c>
      <c r="AK36" s="4">
        <f t="shared" si="19"/>
        <v>0.15416666666666667</v>
      </c>
      <c r="AM36" t="b">
        <v>1</v>
      </c>
    </row>
    <row r="37" spans="1:39" x14ac:dyDescent="0.3">
      <c r="A37" s="3" t="s">
        <v>123</v>
      </c>
      <c r="B37" t="s">
        <v>124</v>
      </c>
      <c r="C37" t="s">
        <v>29</v>
      </c>
      <c r="D37">
        <v>56</v>
      </c>
      <c r="E37" s="1">
        <v>23452</v>
      </c>
      <c r="F37" s="2">
        <v>44078.44740740741</v>
      </c>
      <c r="G37" t="s">
        <v>30</v>
      </c>
      <c r="H37" s="5">
        <v>2259</v>
      </c>
      <c r="I37" s="6">
        <f t="shared" si="11"/>
        <v>22.818181818181817</v>
      </c>
      <c r="J37" s="6">
        <v>4.8390000000000004</v>
      </c>
      <c r="K37" s="5">
        <v>99</v>
      </c>
      <c r="L37" s="5">
        <v>1188</v>
      </c>
      <c r="M37" s="6">
        <f t="shared" si="12"/>
        <v>12</v>
      </c>
      <c r="N37" s="6">
        <v>3.6779999999999999</v>
      </c>
      <c r="O37" s="5">
        <v>99</v>
      </c>
      <c r="Q37" s="5">
        <v>1590</v>
      </c>
      <c r="R37" s="6">
        <f t="shared" si="13"/>
        <v>15.9</v>
      </c>
      <c r="S37" s="6">
        <v>3.6909999999999998</v>
      </c>
      <c r="T37" s="5">
        <v>100</v>
      </c>
      <c r="U37" s="5">
        <v>513</v>
      </c>
      <c r="V37" s="6">
        <f t="shared" si="14"/>
        <v>5.13</v>
      </c>
      <c r="W37" s="7">
        <v>2.3250000000000002</v>
      </c>
      <c r="X37" s="5">
        <v>100</v>
      </c>
      <c r="Z37" s="6">
        <f t="shared" si="15"/>
        <v>1.9015151515151514</v>
      </c>
      <c r="AA37" s="6">
        <f t="shared" si="16"/>
        <v>3.0994152046783627</v>
      </c>
      <c r="AB37" s="11">
        <f t="shared" si="17"/>
        <v>0.62997134269937816</v>
      </c>
      <c r="AC37" t="s">
        <v>31</v>
      </c>
      <c r="AE37" t="s">
        <v>421</v>
      </c>
      <c r="AF37" s="4">
        <v>0.39097222222222222</v>
      </c>
      <c r="AG37" s="4">
        <v>0.44444444444444442</v>
      </c>
      <c r="AH37" s="4">
        <f t="shared" si="18"/>
        <v>5.3472222222222199E-2</v>
      </c>
      <c r="AI37" s="4">
        <f t="shared" si="10"/>
        <v>0.39097222222222222</v>
      </c>
      <c r="AJ37" s="4">
        <v>0.53472222222222221</v>
      </c>
      <c r="AK37" s="4">
        <f t="shared" si="19"/>
        <v>0.14374999999999999</v>
      </c>
      <c r="AM37" t="b">
        <v>1</v>
      </c>
    </row>
    <row r="38" spans="1:39" x14ac:dyDescent="0.3">
      <c r="A38" s="3" t="s">
        <v>127</v>
      </c>
      <c r="B38" t="s">
        <v>128</v>
      </c>
      <c r="C38" t="s">
        <v>29</v>
      </c>
      <c r="D38">
        <v>59</v>
      </c>
      <c r="E38" s="1">
        <v>22431</v>
      </c>
      <c r="F38" s="2">
        <v>44081.404814814814</v>
      </c>
      <c r="G38" t="s">
        <v>30</v>
      </c>
      <c r="H38" s="5">
        <v>2175</v>
      </c>
      <c r="I38" s="6">
        <f t="shared" si="11"/>
        <v>21.969696969696969</v>
      </c>
      <c r="J38" s="6">
        <v>1.224</v>
      </c>
      <c r="K38" s="5">
        <v>99</v>
      </c>
      <c r="L38" s="5">
        <v>1112</v>
      </c>
      <c r="M38" s="6">
        <f t="shared" si="12"/>
        <v>11.232323232323232</v>
      </c>
      <c r="N38" s="6">
        <v>1.577</v>
      </c>
      <c r="O38" s="5">
        <v>99</v>
      </c>
      <c r="Q38" s="5">
        <v>1381</v>
      </c>
      <c r="R38" s="6">
        <f t="shared" si="13"/>
        <v>13.94949494949495</v>
      </c>
      <c r="S38" s="6">
        <v>1.38</v>
      </c>
      <c r="T38" s="5">
        <v>99</v>
      </c>
      <c r="U38" s="5">
        <v>356</v>
      </c>
      <c r="V38" s="6">
        <f t="shared" si="14"/>
        <v>3.595959595959596</v>
      </c>
      <c r="W38" s="6">
        <v>0.68400000000000005</v>
      </c>
      <c r="X38" s="5">
        <v>99</v>
      </c>
      <c r="Z38" s="6">
        <f t="shared" si="15"/>
        <v>1.9559352517985611</v>
      </c>
      <c r="AA38" s="6">
        <f t="shared" si="16"/>
        <v>3.8792134831460676</v>
      </c>
      <c r="AB38" s="11">
        <f t="shared" si="17"/>
        <v>0.98330362908433444</v>
      </c>
      <c r="AC38" t="s">
        <v>39</v>
      </c>
      <c r="AE38" s="14" t="s">
        <v>421</v>
      </c>
      <c r="AF38" s="4">
        <v>0.38541666666666669</v>
      </c>
      <c r="AG38" s="4">
        <v>0.43055555555555558</v>
      </c>
      <c r="AH38" s="4">
        <f t="shared" si="18"/>
        <v>4.5138888888888895E-2</v>
      </c>
      <c r="AI38" s="4">
        <f t="shared" si="10"/>
        <v>0.38541666666666669</v>
      </c>
      <c r="AJ38" s="4">
        <v>0.51736111111111105</v>
      </c>
      <c r="AK38" s="4">
        <f t="shared" si="19"/>
        <v>0.13194444444444436</v>
      </c>
      <c r="AM38" t="b">
        <v>1</v>
      </c>
    </row>
    <row r="39" spans="1:39" x14ac:dyDescent="0.3">
      <c r="A39" s="3" t="s">
        <v>125</v>
      </c>
      <c r="B39" t="s">
        <v>126</v>
      </c>
      <c r="C39" t="s">
        <v>52</v>
      </c>
      <c r="D39">
        <v>35</v>
      </c>
      <c r="E39" s="1">
        <v>30953</v>
      </c>
      <c r="F39" s="2">
        <v>44081.409687500003</v>
      </c>
      <c r="G39" t="s">
        <v>30</v>
      </c>
      <c r="H39" s="5">
        <v>2730</v>
      </c>
      <c r="I39" s="6">
        <f t="shared" si="11"/>
        <v>27.575757575757574</v>
      </c>
      <c r="J39" s="6">
        <v>1.5780000000000001</v>
      </c>
      <c r="K39" s="5">
        <v>99</v>
      </c>
      <c r="L39" s="5">
        <v>1916</v>
      </c>
      <c r="M39" s="6">
        <f t="shared" si="12"/>
        <v>19.353535353535353</v>
      </c>
      <c r="N39" s="6">
        <v>1.5669999999999999</v>
      </c>
      <c r="O39" s="5">
        <v>99</v>
      </c>
      <c r="Q39" s="5">
        <v>1809</v>
      </c>
      <c r="R39" s="6">
        <f t="shared" si="13"/>
        <v>18.09</v>
      </c>
      <c r="S39" s="6">
        <v>1.913</v>
      </c>
      <c r="T39" s="5">
        <v>100</v>
      </c>
      <c r="U39" s="5">
        <v>708</v>
      </c>
      <c r="V39" s="6">
        <f t="shared" si="14"/>
        <v>7.08</v>
      </c>
      <c r="W39" s="6">
        <v>0.8</v>
      </c>
      <c r="X39" s="5">
        <v>100</v>
      </c>
      <c r="Z39" s="6">
        <f t="shared" si="15"/>
        <v>1.4248434237995824</v>
      </c>
      <c r="AA39" s="6">
        <f t="shared" si="16"/>
        <v>2.5550847457627119</v>
      </c>
      <c r="AB39" s="11">
        <f t="shared" si="17"/>
        <v>0.7932389644254052</v>
      </c>
      <c r="AC39" t="s">
        <v>53</v>
      </c>
      <c r="AE39" t="s">
        <v>420</v>
      </c>
      <c r="AF39" s="4">
        <v>0.38750000000000001</v>
      </c>
      <c r="AG39" s="4">
        <v>0.4375</v>
      </c>
      <c r="AH39" s="4">
        <f t="shared" si="18"/>
        <v>4.9999999999999989E-2</v>
      </c>
      <c r="AI39" s="4">
        <f t="shared" si="10"/>
        <v>0.38750000000000001</v>
      </c>
      <c r="AJ39" s="4">
        <v>0.51736111111111105</v>
      </c>
      <c r="AK39" s="4">
        <f t="shared" si="19"/>
        <v>0.12986111111111104</v>
      </c>
      <c r="AM39" t="b">
        <v>1</v>
      </c>
    </row>
    <row r="40" spans="1:39" x14ac:dyDescent="0.3">
      <c r="A40" s="3" t="s">
        <v>129</v>
      </c>
      <c r="B40" t="s">
        <v>130</v>
      </c>
      <c r="C40" t="s">
        <v>29</v>
      </c>
      <c r="D40">
        <v>48</v>
      </c>
      <c r="E40" s="1">
        <v>26427</v>
      </c>
      <c r="F40" s="2">
        <v>44081.438125000001</v>
      </c>
      <c r="G40" t="s">
        <v>30</v>
      </c>
      <c r="H40" s="5">
        <v>1618</v>
      </c>
      <c r="I40" s="6">
        <f t="shared" si="11"/>
        <v>16.343434343434343</v>
      </c>
      <c r="J40" s="6">
        <v>1.08</v>
      </c>
      <c r="K40" s="5">
        <v>99</v>
      </c>
      <c r="L40" s="5">
        <v>805</v>
      </c>
      <c r="M40" s="6">
        <f t="shared" si="12"/>
        <v>8.1313131313131315</v>
      </c>
      <c r="N40" s="6">
        <v>0.751</v>
      </c>
      <c r="O40" s="5">
        <v>99</v>
      </c>
      <c r="Q40" s="5">
        <v>1022</v>
      </c>
      <c r="R40" s="6">
        <f t="shared" si="13"/>
        <v>10.323232323232324</v>
      </c>
      <c r="S40" s="6">
        <v>0.754</v>
      </c>
      <c r="T40" s="5">
        <v>99</v>
      </c>
      <c r="U40" s="5">
        <v>279</v>
      </c>
      <c r="V40" s="6">
        <f t="shared" si="14"/>
        <v>2.8181818181818183</v>
      </c>
      <c r="W40" s="6">
        <v>0.48199999999999998</v>
      </c>
      <c r="X40" s="5">
        <v>99</v>
      </c>
      <c r="Z40" s="6">
        <f t="shared" si="15"/>
        <v>2.0099378881987575</v>
      </c>
      <c r="AA40" s="6">
        <f t="shared" si="16"/>
        <v>3.6630824372759854</v>
      </c>
      <c r="AB40" s="11">
        <f t="shared" si="17"/>
        <v>0.82248539061011661</v>
      </c>
      <c r="AC40" t="s">
        <v>39</v>
      </c>
      <c r="AE40" t="s">
        <v>421</v>
      </c>
      <c r="AF40" s="4">
        <v>0.39930555555555558</v>
      </c>
      <c r="AG40" s="4">
        <v>0.44444444444444442</v>
      </c>
      <c r="AH40" s="4">
        <f t="shared" si="18"/>
        <v>4.513888888888884E-2</v>
      </c>
      <c r="AI40" s="4">
        <f t="shared" si="10"/>
        <v>0.39930555555555558</v>
      </c>
      <c r="AJ40" s="4">
        <v>0.52777777777777779</v>
      </c>
      <c r="AK40" s="4">
        <f t="shared" si="19"/>
        <v>0.12847222222222221</v>
      </c>
      <c r="AM40" t="b">
        <v>1</v>
      </c>
    </row>
    <row r="41" spans="1:39" x14ac:dyDescent="0.3">
      <c r="A41" s="3" t="s">
        <v>131</v>
      </c>
      <c r="B41" t="s">
        <v>132</v>
      </c>
      <c r="C41" t="s">
        <v>29</v>
      </c>
      <c r="D41">
        <v>55</v>
      </c>
      <c r="E41" s="1">
        <v>23804</v>
      </c>
      <c r="F41" s="2">
        <v>44082.410520833335</v>
      </c>
      <c r="G41" t="s">
        <v>30</v>
      </c>
      <c r="H41" s="5">
        <v>3424</v>
      </c>
      <c r="I41" s="6">
        <f t="shared" si="11"/>
        <v>34.24</v>
      </c>
      <c r="J41" s="6">
        <v>5.9969999999999999</v>
      </c>
      <c r="K41" s="5">
        <v>100</v>
      </c>
      <c r="L41" s="5">
        <v>1447</v>
      </c>
      <c r="M41" s="6">
        <f t="shared" si="12"/>
        <v>14.47</v>
      </c>
      <c r="N41" s="6">
        <v>4.3769999999999998</v>
      </c>
      <c r="O41" s="5">
        <v>100</v>
      </c>
      <c r="Q41" s="5">
        <v>2424</v>
      </c>
      <c r="R41" s="6">
        <f t="shared" si="13"/>
        <v>24.484848484848484</v>
      </c>
      <c r="S41" s="6">
        <v>5.0389999999999997</v>
      </c>
      <c r="T41" s="5">
        <v>99</v>
      </c>
      <c r="U41" s="5">
        <v>596</v>
      </c>
      <c r="V41" s="6">
        <f t="shared" si="14"/>
        <v>6.0202020202020199</v>
      </c>
      <c r="W41" s="7">
        <v>2.661</v>
      </c>
      <c r="X41" s="5">
        <v>99</v>
      </c>
      <c r="Z41" s="6">
        <f t="shared" si="15"/>
        <v>2.3662750518313751</v>
      </c>
      <c r="AA41" s="6">
        <f t="shared" si="16"/>
        <v>4.0671140939597317</v>
      </c>
      <c r="AB41" s="11">
        <f t="shared" si="17"/>
        <v>0.71878332183403393</v>
      </c>
      <c r="AC41" t="s">
        <v>40</v>
      </c>
      <c r="AE41" t="s">
        <v>420</v>
      </c>
      <c r="AF41" s="4">
        <v>0.3833333333333333</v>
      </c>
      <c r="AG41" s="4">
        <v>0.4375</v>
      </c>
      <c r="AH41" s="4">
        <f t="shared" si="18"/>
        <v>5.4166666666666696E-2</v>
      </c>
      <c r="AI41" s="4">
        <f t="shared" si="10"/>
        <v>0.3833333333333333</v>
      </c>
      <c r="AJ41" s="4">
        <v>0.53472222222222221</v>
      </c>
      <c r="AK41" s="4">
        <f t="shared" si="19"/>
        <v>0.15138888888888891</v>
      </c>
      <c r="AM41" t="b">
        <v>1</v>
      </c>
    </row>
    <row r="42" spans="1:39" x14ac:dyDescent="0.3">
      <c r="A42" s="3" t="s">
        <v>135</v>
      </c>
      <c r="B42" t="s">
        <v>136</v>
      </c>
      <c r="C42" t="s">
        <v>29</v>
      </c>
      <c r="D42">
        <v>69</v>
      </c>
      <c r="E42" s="1">
        <v>18688</v>
      </c>
      <c r="F42" s="2">
        <v>44083.428067129629</v>
      </c>
      <c r="G42" t="s">
        <v>30</v>
      </c>
      <c r="H42" s="5">
        <v>2930</v>
      </c>
      <c r="I42" s="6">
        <f t="shared" si="11"/>
        <v>29.3</v>
      </c>
      <c r="J42" s="6">
        <v>5.181</v>
      </c>
      <c r="K42" s="5">
        <v>100</v>
      </c>
      <c r="L42" s="5">
        <v>1704</v>
      </c>
      <c r="M42" s="6">
        <f t="shared" si="12"/>
        <v>17.04</v>
      </c>
      <c r="N42" s="6">
        <v>4.3159999999999998</v>
      </c>
      <c r="O42" s="5">
        <v>100</v>
      </c>
      <c r="Q42" s="5">
        <v>1889</v>
      </c>
      <c r="R42" s="6">
        <f t="shared" si="13"/>
        <v>19.08080808080808</v>
      </c>
      <c r="S42" s="6">
        <v>3.7759999999999998</v>
      </c>
      <c r="T42" s="5">
        <v>99</v>
      </c>
      <c r="U42" s="5">
        <v>669</v>
      </c>
      <c r="V42" s="6">
        <f t="shared" si="14"/>
        <v>6.7575757575757578</v>
      </c>
      <c r="W42" s="6">
        <v>2.8029999999999999</v>
      </c>
      <c r="X42" s="5">
        <v>99</v>
      </c>
      <c r="Z42" s="6">
        <f t="shared" si="15"/>
        <v>1.7194835680751175</v>
      </c>
      <c r="AA42" s="6">
        <f t="shared" si="16"/>
        <v>2.8236173393124062</v>
      </c>
      <c r="AB42" s="11">
        <f t="shared" si="17"/>
        <v>0.64213103965472351</v>
      </c>
      <c r="AC42" t="s">
        <v>31</v>
      </c>
      <c r="AE42" t="s">
        <v>421</v>
      </c>
      <c r="AF42" s="4">
        <v>0.375</v>
      </c>
      <c r="AG42" s="4">
        <v>0.43055555555555558</v>
      </c>
      <c r="AH42" s="4">
        <f t="shared" si="18"/>
        <v>5.555555555555558E-2</v>
      </c>
      <c r="AI42" s="4">
        <f t="shared" si="10"/>
        <v>0.375</v>
      </c>
      <c r="AJ42" s="4">
        <v>0.52083333333333337</v>
      </c>
      <c r="AK42" s="4">
        <f t="shared" si="19"/>
        <v>0.14583333333333337</v>
      </c>
      <c r="AM42" t="b">
        <v>1</v>
      </c>
    </row>
    <row r="43" spans="1:39" x14ac:dyDescent="0.3">
      <c r="A43" s="3" t="s">
        <v>133</v>
      </c>
      <c r="B43" t="s">
        <v>134</v>
      </c>
      <c r="C43" t="s">
        <v>29</v>
      </c>
      <c r="D43">
        <v>46</v>
      </c>
      <c r="E43" s="1">
        <v>27218</v>
      </c>
      <c r="F43" s="2">
        <v>44083.441932870373</v>
      </c>
      <c r="G43" t="s">
        <v>30</v>
      </c>
      <c r="H43" s="5">
        <v>2681</v>
      </c>
      <c r="I43" s="6">
        <f t="shared" si="11"/>
        <v>26.81</v>
      </c>
      <c r="J43" s="6">
        <v>1.988</v>
      </c>
      <c r="K43" s="5">
        <v>100</v>
      </c>
      <c r="L43" s="5">
        <v>970</v>
      </c>
      <c r="M43" s="6">
        <f t="shared" si="12"/>
        <v>9.6999999999999993</v>
      </c>
      <c r="N43" s="6">
        <v>1.0780000000000001</v>
      </c>
      <c r="O43" s="5">
        <v>100</v>
      </c>
      <c r="Q43" s="5">
        <v>1939</v>
      </c>
      <c r="R43" s="6">
        <f t="shared" si="13"/>
        <v>19.585858585858585</v>
      </c>
      <c r="S43" s="6">
        <v>1.738</v>
      </c>
      <c r="T43" s="5">
        <v>99</v>
      </c>
      <c r="U43" s="5">
        <v>433</v>
      </c>
      <c r="V43" s="6">
        <f t="shared" si="14"/>
        <v>4.3737373737373737</v>
      </c>
      <c r="W43" s="7">
        <v>0.67900000000000005</v>
      </c>
      <c r="X43" s="5">
        <v>99</v>
      </c>
      <c r="Z43" s="6">
        <f t="shared" si="15"/>
        <v>2.7639175257731958</v>
      </c>
      <c r="AA43" s="6">
        <f t="shared" si="16"/>
        <v>4.478060046189376</v>
      </c>
      <c r="AB43" s="11">
        <f t="shared" si="17"/>
        <v>0.62018584289582057</v>
      </c>
      <c r="AC43" t="s">
        <v>53</v>
      </c>
      <c r="AE43" t="s">
        <v>420</v>
      </c>
      <c r="AF43" s="4">
        <v>0.38958333333333334</v>
      </c>
      <c r="AG43" s="4">
        <v>0.4375</v>
      </c>
      <c r="AH43" s="4">
        <f t="shared" si="18"/>
        <v>4.7916666666666663E-2</v>
      </c>
      <c r="AI43" s="4">
        <f t="shared" si="10"/>
        <v>0.38958333333333334</v>
      </c>
      <c r="AJ43" s="4">
        <v>0.51736111111111105</v>
      </c>
      <c r="AK43" s="4">
        <f t="shared" si="19"/>
        <v>0.12777777777777771</v>
      </c>
      <c r="AM43" t="b">
        <v>1</v>
      </c>
    </row>
    <row r="44" spans="1:39" x14ac:dyDescent="0.3">
      <c r="A44" s="3" t="s">
        <v>137</v>
      </c>
      <c r="B44" t="s">
        <v>138</v>
      </c>
      <c r="C44" t="s">
        <v>52</v>
      </c>
      <c r="D44">
        <v>64</v>
      </c>
      <c r="E44" s="1">
        <v>20684</v>
      </c>
      <c r="F44" s="2">
        <v>44084.424247685187</v>
      </c>
      <c r="G44" t="s">
        <v>30</v>
      </c>
      <c r="H44" s="5">
        <v>3195</v>
      </c>
      <c r="I44" s="6">
        <f t="shared" si="11"/>
        <v>32.272727272727273</v>
      </c>
      <c r="J44" s="6">
        <v>6.056</v>
      </c>
      <c r="K44" s="5">
        <v>99</v>
      </c>
      <c r="L44" s="5">
        <v>1482</v>
      </c>
      <c r="M44" s="6">
        <f t="shared" si="12"/>
        <v>14.969696969696969</v>
      </c>
      <c r="N44" s="6">
        <v>3.9630000000000001</v>
      </c>
      <c r="O44" s="5">
        <v>99</v>
      </c>
      <c r="Q44" s="5">
        <v>2326</v>
      </c>
      <c r="R44" s="6">
        <f t="shared" si="13"/>
        <v>23.26</v>
      </c>
      <c r="S44" s="6">
        <v>4.585</v>
      </c>
      <c r="T44" s="5">
        <v>100</v>
      </c>
      <c r="U44" s="5">
        <v>542</v>
      </c>
      <c r="V44" s="6">
        <f t="shared" si="14"/>
        <v>5.42</v>
      </c>
      <c r="W44" s="6">
        <v>2.0059999999999998</v>
      </c>
      <c r="X44" s="5">
        <v>100</v>
      </c>
      <c r="Z44" s="6">
        <f t="shared" si="15"/>
        <v>2.1558704453441297</v>
      </c>
      <c r="AA44" s="6">
        <f t="shared" si="16"/>
        <v>4.291512915129152</v>
      </c>
      <c r="AB44" s="11">
        <f t="shared" si="17"/>
        <v>0.99061725828525904</v>
      </c>
      <c r="AC44" t="s">
        <v>31</v>
      </c>
      <c r="AE44" t="s">
        <v>421</v>
      </c>
      <c r="AF44" s="4">
        <v>0.36944444444444446</v>
      </c>
      <c r="AG44" s="4">
        <v>0.43055555555555558</v>
      </c>
      <c r="AH44" s="4">
        <f t="shared" si="18"/>
        <v>6.1111111111111116E-2</v>
      </c>
      <c r="AI44" s="4">
        <f t="shared" si="10"/>
        <v>0.36944444444444446</v>
      </c>
      <c r="AJ44" s="4">
        <v>0.52083333333333337</v>
      </c>
      <c r="AK44" s="4">
        <f t="shared" si="19"/>
        <v>0.15138888888888891</v>
      </c>
      <c r="AM44" t="b">
        <v>1</v>
      </c>
    </row>
    <row r="45" spans="1:39" x14ac:dyDescent="0.3">
      <c r="A45" s="3" t="s">
        <v>139</v>
      </c>
      <c r="B45" t="s">
        <v>140</v>
      </c>
      <c r="C45" t="s">
        <v>29</v>
      </c>
      <c r="D45">
        <v>72</v>
      </c>
      <c r="E45" s="1">
        <v>17511</v>
      </c>
      <c r="F45" s="2">
        <v>44084.437418981484</v>
      </c>
      <c r="G45" t="s">
        <v>30</v>
      </c>
      <c r="H45" s="5">
        <v>2952</v>
      </c>
      <c r="I45" s="6">
        <f t="shared" si="11"/>
        <v>29.818181818181817</v>
      </c>
      <c r="J45" s="6">
        <v>5.1260000000000003</v>
      </c>
      <c r="K45" s="5">
        <v>99</v>
      </c>
      <c r="L45" s="5">
        <v>1564</v>
      </c>
      <c r="M45" s="6">
        <f t="shared" si="12"/>
        <v>15.797979797979798</v>
      </c>
      <c r="N45" s="6">
        <v>4.4740000000000002</v>
      </c>
      <c r="O45" s="5">
        <v>99</v>
      </c>
      <c r="Q45" s="5">
        <v>1879</v>
      </c>
      <c r="R45" s="6">
        <f t="shared" si="13"/>
        <v>18.79</v>
      </c>
      <c r="S45" s="6">
        <v>4.3120000000000003</v>
      </c>
      <c r="T45" s="5">
        <v>100</v>
      </c>
      <c r="U45" s="5">
        <v>634</v>
      </c>
      <c r="V45" s="6">
        <f t="shared" si="14"/>
        <v>6.34</v>
      </c>
      <c r="W45" s="6">
        <v>2.528</v>
      </c>
      <c r="X45" s="5">
        <v>100</v>
      </c>
      <c r="Z45" s="6">
        <f t="shared" si="15"/>
        <v>1.8874680306905369</v>
      </c>
      <c r="AA45" s="6">
        <f t="shared" si="16"/>
        <v>2.9637223974763405</v>
      </c>
      <c r="AB45" s="11">
        <f t="shared" si="17"/>
        <v>0.57021064690142176</v>
      </c>
      <c r="AC45" t="s">
        <v>31</v>
      </c>
      <c r="AE45" t="s">
        <v>421</v>
      </c>
      <c r="AF45" s="4">
        <v>0.37361111111111112</v>
      </c>
      <c r="AG45" s="4">
        <v>0.44444444444444442</v>
      </c>
      <c r="AH45" s="4">
        <f t="shared" si="18"/>
        <v>7.0833333333333304E-2</v>
      </c>
      <c r="AI45" s="4">
        <f t="shared" si="10"/>
        <v>0.37361111111111112</v>
      </c>
      <c r="AJ45" s="4">
        <v>0.53472222222222221</v>
      </c>
      <c r="AK45" s="4">
        <f t="shared" si="19"/>
        <v>0.16111111111111109</v>
      </c>
      <c r="AM45" t="b">
        <v>1</v>
      </c>
    </row>
    <row r="46" spans="1:39" x14ac:dyDescent="0.3">
      <c r="A46" s="3" t="s">
        <v>141</v>
      </c>
      <c r="B46" t="s">
        <v>142</v>
      </c>
      <c r="C46" t="s">
        <v>29</v>
      </c>
      <c r="D46">
        <v>36</v>
      </c>
      <c r="E46" s="1">
        <v>30838</v>
      </c>
      <c r="F46" s="2">
        <v>44084.452847222223</v>
      </c>
      <c r="G46" t="s">
        <v>30</v>
      </c>
      <c r="H46" s="5">
        <v>1363</v>
      </c>
      <c r="I46" s="6">
        <f t="shared" si="11"/>
        <v>13.767676767676768</v>
      </c>
      <c r="J46" s="6">
        <v>0.98799999999999999</v>
      </c>
      <c r="K46" s="5">
        <v>99</v>
      </c>
      <c r="L46" s="5">
        <v>758</v>
      </c>
      <c r="M46" s="6">
        <f t="shared" si="12"/>
        <v>7.6565656565656566</v>
      </c>
      <c r="N46" s="6">
        <v>0.91700000000000004</v>
      </c>
      <c r="O46" s="5">
        <v>99</v>
      </c>
      <c r="Q46" s="5">
        <v>932</v>
      </c>
      <c r="R46" s="6">
        <f t="shared" si="13"/>
        <v>9.4141414141414135</v>
      </c>
      <c r="S46" s="6">
        <v>0.84499999999999997</v>
      </c>
      <c r="T46" s="5">
        <v>99</v>
      </c>
      <c r="U46" s="5">
        <v>340</v>
      </c>
      <c r="V46" s="6">
        <f t="shared" si="14"/>
        <v>3.4343434343434343</v>
      </c>
      <c r="W46" s="6">
        <v>0.57399999999999995</v>
      </c>
      <c r="X46" s="5">
        <v>99</v>
      </c>
      <c r="Z46" s="6">
        <f t="shared" si="15"/>
        <v>1.7981530343007917</v>
      </c>
      <c r="AA46" s="6">
        <f t="shared" si="16"/>
        <v>2.7411764705882353</v>
      </c>
      <c r="AB46" s="11">
        <f t="shared" si="17"/>
        <v>0.52444003279962015</v>
      </c>
      <c r="AC46" t="s">
        <v>39</v>
      </c>
      <c r="AE46" t="s">
        <v>420</v>
      </c>
      <c r="AF46" s="4">
        <v>0.3979166666666667</v>
      </c>
      <c r="AG46" s="4">
        <v>0.44444444444444442</v>
      </c>
      <c r="AH46" s="4">
        <f t="shared" si="18"/>
        <v>4.6527777777777724E-2</v>
      </c>
      <c r="AI46" s="4">
        <f t="shared" si="10"/>
        <v>0.3979166666666667</v>
      </c>
      <c r="AJ46" s="4">
        <v>0.52083333333333337</v>
      </c>
      <c r="AK46" s="4">
        <f t="shared" si="19"/>
        <v>0.12291666666666667</v>
      </c>
      <c r="AM46" t="b">
        <v>1</v>
      </c>
    </row>
    <row r="47" spans="1:39" x14ac:dyDescent="0.3">
      <c r="A47" s="3" t="s">
        <v>143</v>
      </c>
      <c r="B47" t="s">
        <v>144</v>
      </c>
      <c r="C47" t="s">
        <v>29</v>
      </c>
      <c r="D47">
        <v>49</v>
      </c>
      <c r="E47" s="1">
        <v>26026</v>
      </c>
      <c r="F47" s="2">
        <v>44085.430925925924</v>
      </c>
      <c r="G47" t="s">
        <v>30</v>
      </c>
      <c r="H47" s="5">
        <v>1964</v>
      </c>
      <c r="I47" s="6">
        <f t="shared" si="11"/>
        <v>19.64</v>
      </c>
      <c r="J47" s="6">
        <v>4.3769999999999998</v>
      </c>
      <c r="K47" s="5">
        <v>100</v>
      </c>
      <c r="L47" s="5">
        <v>676</v>
      </c>
      <c r="M47" s="6">
        <f t="shared" si="12"/>
        <v>6.76</v>
      </c>
      <c r="N47" s="6">
        <v>2.7570000000000001</v>
      </c>
      <c r="O47" s="5">
        <v>100</v>
      </c>
      <c r="Q47" s="5">
        <v>1140</v>
      </c>
      <c r="R47" s="6">
        <f t="shared" si="13"/>
        <v>11.515151515151516</v>
      </c>
      <c r="S47" s="6">
        <v>3.3359999999999999</v>
      </c>
      <c r="T47" s="5">
        <v>99</v>
      </c>
      <c r="U47" s="5">
        <v>242</v>
      </c>
      <c r="V47" s="6">
        <f t="shared" si="14"/>
        <v>2.4444444444444446</v>
      </c>
      <c r="W47" s="6">
        <v>1.6180000000000001</v>
      </c>
      <c r="X47" s="5">
        <v>99</v>
      </c>
      <c r="Z47" s="6">
        <f t="shared" si="15"/>
        <v>2.9053254437869822</v>
      </c>
      <c r="AA47" s="6">
        <f t="shared" si="16"/>
        <v>4.7107438016528924</v>
      </c>
      <c r="AB47" s="11">
        <f t="shared" si="17"/>
        <v>0.62141690932655569</v>
      </c>
      <c r="AC47" t="s">
        <v>31</v>
      </c>
      <c r="AE47" t="s">
        <v>422</v>
      </c>
      <c r="AF47" s="4">
        <v>0.37152777777777773</v>
      </c>
      <c r="AG47" s="4">
        <v>0.4375</v>
      </c>
      <c r="AH47" s="4">
        <f t="shared" si="18"/>
        <v>6.5972222222222265E-2</v>
      </c>
      <c r="AI47" s="4">
        <f t="shared" si="10"/>
        <v>0.37152777777777773</v>
      </c>
      <c r="AJ47" s="4">
        <v>0.52083333333333337</v>
      </c>
      <c r="AK47" s="4">
        <f t="shared" si="19"/>
        <v>0.14930555555555564</v>
      </c>
      <c r="AM47" t="b">
        <v>1</v>
      </c>
    </row>
    <row r="48" spans="1:39" x14ac:dyDescent="0.3">
      <c r="A48" s="3" t="s">
        <v>145</v>
      </c>
      <c r="B48" t="s">
        <v>146</v>
      </c>
      <c r="C48" t="s">
        <v>52</v>
      </c>
      <c r="D48">
        <v>67</v>
      </c>
      <c r="E48" s="1">
        <v>19308</v>
      </c>
      <c r="F48" s="2">
        <v>44089.402962962966</v>
      </c>
      <c r="G48" t="s">
        <v>30</v>
      </c>
      <c r="H48" s="5">
        <v>3194</v>
      </c>
      <c r="I48" s="6">
        <f t="shared" si="11"/>
        <v>32.262626262626263</v>
      </c>
      <c r="J48" s="6">
        <v>3.2189999999999999</v>
      </c>
      <c r="K48" s="5">
        <v>99</v>
      </c>
      <c r="L48" s="5">
        <v>1175</v>
      </c>
      <c r="M48" s="6">
        <f t="shared" si="12"/>
        <v>11.868686868686869</v>
      </c>
      <c r="N48" s="6">
        <v>1.0269999999999999</v>
      </c>
      <c r="O48" s="5">
        <v>99</v>
      </c>
      <c r="Q48" s="5">
        <v>2220</v>
      </c>
      <c r="R48" s="6">
        <f t="shared" si="13"/>
        <v>22.2</v>
      </c>
      <c r="S48" s="6">
        <v>2.867</v>
      </c>
      <c r="T48" s="5">
        <v>100</v>
      </c>
      <c r="U48" s="5">
        <v>410</v>
      </c>
      <c r="V48" s="6">
        <f t="shared" si="14"/>
        <v>4.0999999999999996</v>
      </c>
      <c r="W48" s="6">
        <v>0.61099999999999999</v>
      </c>
      <c r="X48" s="5">
        <v>100</v>
      </c>
      <c r="Z48" s="6">
        <f t="shared" si="15"/>
        <v>2.7182978723404254</v>
      </c>
      <c r="AA48" s="6">
        <f t="shared" si="16"/>
        <v>5.4146341463414638</v>
      </c>
      <c r="AB48" s="11">
        <f t="shared" si="17"/>
        <v>0.99192082716068264</v>
      </c>
      <c r="AC48" t="s">
        <v>39</v>
      </c>
      <c r="AE48" t="s">
        <v>421</v>
      </c>
      <c r="AF48" s="4">
        <v>0.38263888888888892</v>
      </c>
      <c r="AG48" s="4">
        <v>0.43402777777777773</v>
      </c>
      <c r="AH48" s="4">
        <f t="shared" si="18"/>
        <v>5.1388888888888817E-2</v>
      </c>
      <c r="AI48" s="4">
        <f t="shared" si="10"/>
        <v>0.38263888888888892</v>
      </c>
      <c r="AJ48" s="4">
        <v>0.54166666666666663</v>
      </c>
      <c r="AK48" s="4">
        <f t="shared" si="19"/>
        <v>0.15902777777777771</v>
      </c>
      <c r="AM48" t="b">
        <v>1</v>
      </c>
    </row>
    <row r="49" spans="1:39" x14ac:dyDescent="0.3">
      <c r="A49" s="3" t="s">
        <v>147</v>
      </c>
      <c r="B49" t="s">
        <v>148</v>
      </c>
      <c r="C49" t="s">
        <v>29</v>
      </c>
      <c r="D49">
        <v>46</v>
      </c>
      <c r="E49" s="1">
        <v>27274</v>
      </c>
      <c r="F49" s="2">
        <v>44089.409641203703</v>
      </c>
      <c r="G49" t="s">
        <v>30</v>
      </c>
      <c r="H49" s="5">
        <v>3556</v>
      </c>
      <c r="I49" s="6">
        <f t="shared" si="11"/>
        <v>35.919191919191917</v>
      </c>
      <c r="J49" s="6">
        <v>7.6970000000000001</v>
      </c>
      <c r="K49" s="5">
        <v>99</v>
      </c>
      <c r="L49" s="5">
        <v>1202</v>
      </c>
      <c r="M49" s="6">
        <f t="shared" si="12"/>
        <v>12.141414141414142</v>
      </c>
      <c r="N49" s="6">
        <v>3.359</v>
      </c>
      <c r="O49" s="5">
        <v>99</v>
      </c>
      <c r="Q49" s="5">
        <v>2340</v>
      </c>
      <c r="R49" s="6">
        <f t="shared" si="13"/>
        <v>23.4</v>
      </c>
      <c r="S49" s="6">
        <v>6.0990000000000002</v>
      </c>
      <c r="T49" s="5">
        <v>100</v>
      </c>
      <c r="U49" s="5">
        <v>474</v>
      </c>
      <c r="V49" s="6">
        <f t="shared" si="14"/>
        <v>4.74</v>
      </c>
      <c r="W49" s="6">
        <v>2.1859999999999999</v>
      </c>
      <c r="X49" s="5">
        <v>100</v>
      </c>
      <c r="Z49" s="6">
        <f t="shared" si="15"/>
        <v>2.9584026622296169</v>
      </c>
      <c r="AA49" s="6">
        <f t="shared" si="16"/>
        <v>4.9367088607594933</v>
      </c>
      <c r="AB49" s="11">
        <f t="shared" si="17"/>
        <v>0.66870755079665689</v>
      </c>
      <c r="AC49" t="s">
        <v>40</v>
      </c>
      <c r="AE49" t="s">
        <v>420</v>
      </c>
      <c r="AF49" s="4">
        <v>0.37013888888888885</v>
      </c>
      <c r="AG49" s="4">
        <v>0.4375</v>
      </c>
      <c r="AH49" s="4">
        <f t="shared" si="18"/>
        <v>6.7361111111111149E-2</v>
      </c>
      <c r="AI49" s="4">
        <f t="shared" si="10"/>
        <v>0.37013888888888885</v>
      </c>
      <c r="AJ49" s="4">
        <v>0.52083333333333337</v>
      </c>
      <c r="AK49" s="4">
        <f t="shared" si="19"/>
        <v>0.15069444444444452</v>
      </c>
      <c r="AM49" t="b">
        <v>1</v>
      </c>
    </row>
    <row r="50" spans="1:39" x14ac:dyDescent="0.3">
      <c r="A50" s="3" t="s">
        <v>149</v>
      </c>
      <c r="B50" t="s">
        <v>150</v>
      </c>
      <c r="C50" t="s">
        <v>52</v>
      </c>
      <c r="D50">
        <v>64</v>
      </c>
      <c r="E50" s="1">
        <v>20590</v>
      </c>
      <c r="F50" s="2">
        <v>44090.437754629631</v>
      </c>
      <c r="G50" t="s">
        <v>30</v>
      </c>
      <c r="H50" s="5">
        <v>2386</v>
      </c>
      <c r="I50" s="6">
        <f t="shared" si="11"/>
        <v>23.86</v>
      </c>
      <c r="J50" s="6">
        <v>1.47</v>
      </c>
      <c r="K50" s="5">
        <v>100</v>
      </c>
      <c r="L50" s="5">
        <v>1125</v>
      </c>
      <c r="M50" s="6">
        <f t="shared" si="12"/>
        <v>11.25</v>
      </c>
      <c r="N50" s="6">
        <v>1.1399999999999999</v>
      </c>
      <c r="O50" s="5">
        <v>100</v>
      </c>
      <c r="Q50" s="5">
        <v>1855</v>
      </c>
      <c r="R50" s="6">
        <f t="shared" si="13"/>
        <v>18.55</v>
      </c>
      <c r="S50" s="6">
        <v>1.1399999999999999</v>
      </c>
      <c r="T50" s="5">
        <v>100</v>
      </c>
      <c r="U50" s="5">
        <v>477</v>
      </c>
      <c r="V50" s="6">
        <f t="shared" si="14"/>
        <v>4.7699999999999996</v>
      </c>
      <c r="W50" s="6">
        <v>0.75</v>
      </c>
      <c r="X50" s="5">
        <v>100</v>
      </c>
      <c r="Z50" s="6">
        <f t="shared" si="15"/>
        <v>2.120888888888889</v>
      </c>
      <c r="AA50" s="6">
        <f t="shared" si="16"/>
        <v>3.8888888888888893</v>
      </c>
      <c r="AB50" s="11">
        <f t="shared" si="17"/>
        <v>0.83361274098910321</v>
      </c>
      <c r="AC50" t="s">
        <v>39</v>
      </c>
      <c r="AE50" t="s">
        <v>422</v>
      </c>
      <c r="AF50" s="4">
        <v>0.37708333333333338</v>
      </c>
      <c r="AG50" s="4">
        <v>0.44097222222222227</v>
      </c>
      <c r="AH50" s="4">
        <f t="shared" si="18"/>
        <v>6.3888888888888884E-2</v>
      </c>
      <c r="AI50" s="4">
        <f t="shared" si="10"/>
        <v>0.37708333333333338</v>
      </c>
      <c r="AJ50" s="4">
        <v>0.52083333333333337</v>
      </c>
      <c r="AK50" s="4">
        <f t="shared" si="19"/>
        <v>0.14374999999999999</v>
      </c>
      <c r="AM50" t="b">
        <v>1</v>
      </c>
    </row>
    <row r="51" spans="1:39" x14ac:dyDescent="0.3">
      <c r="A51" s="3" t="s">
        <v>151</v>
      </c>
      <c r="B51" t="s">
        <v>152</v>
      </c>
      <c r="C51" t="s">
        <v>29</v>
      </c>
      <c r="D51">
        <v>45</v>
      </c>
      <c r="E51" s="1">
        <v>27383</v>
      </c>
      <c r="F51" s="2">
        <v>44091.429085648146</v>
      </c>
      <c r="G51" t="s">
        <v>30</v>
      </c>
      <c r="H51" s="5">
        <v>2621</v>
      </c>
      <c r="I51" s="6">
        <f t="shared" si="11"/>
        <v>26.474747474747474</v>
      </c>
      <c r="J51" s="6">
        <v>6.0190000000000001</v>
      </c>
      <c r="K51" s="5">
        <v>99</v>
      </c>
      <c r="L51" s="5">
        <v>1570</v>
      </c>
      <c r="M51" s="6">
        <f t="shared" si="12"/>
        <v>15.858585858585858</v>
      </c>
      <c r="N51" s="6">
        <v>4.7290000000000001</v>
      </c>
      <c r="O51" s="5">
        <v>99</v>
      </c>
      <c r="Q51" s="5">
        <v>1398</v>
      </c>
      <c r="R51" s="6">
        <f t="shared" si="13"/>
        <v>14.121212121212121</v>
      </c>
      <c r="S51" s="6">
        <v>3.8919999999999999</v>
      </c>
      <c r="T51" s="5">
        <v>99</v>
      </c>
      <c r="U51" s="5">
        <v>393</v>
      </c>
      <c r="V51" s="6">
        <f t="shared" si="14"/>
        <v>3.9696969696969697</v>
      </c>
      <c r="W51" s="6">
        <v>2.0920000000000001</v>
      </c>
      <c r="X51" s="5">
        <v>99</v>
      </c>
      <c r="Z51" s="6">
        <f t="shared" si="15"/>
        <v>1.6694267515923567</v>
      </c>
      <c r="AA51" s="6">
        <f t="shared" si="16"/>
        <v>3.5572519083969465</v>
      </c>
      <c r="AB51" s="11">
        <f t="shared" si="17"/>
        <v>1.1308223945758131</v>
      </c>
      <c r="AC51" t="s">
        <v>31</v>
      </c>
      <c r="AE51" t="s">
        <v>420</v>
      </c>
      <c r="AF51" s="4">
        <v>0.3923611111111111</v>
      </c>
      <c r="AG51" s="4">
        <v>0.43055555555555558</v>
      </c>
      <c r="AH51" s="4">
        <f t="shared" si="18"/>
        <v>3.8194444444444475E-2</v>
      </c>
      <c r="AI51" s="4">
        <f t="shared" si="10"/>
        <v>0.3923611111111111</v>
      </c>
      <c r="AJ51" s="4">
        <v>0.52083333333333337</v>
      </c>
      <c r="AK51" s="4">
        <f t="shared" si="19"/>
        <v>0.12847222222222227</v>
      </c>
      <c r="AM51" t="b">
        <v>1</v>
      </c>
    </row>
    <row r="52" spans="1:39" x14ac:dyDescent="0.3">
      <c r="A52" s="3" t="s">
        <v>153</v>
      </c>
      <c r="B52" t="s">
        <v>154</v>
      </c>
      <c r="C52" t="s">
        <v>29</v>
      </c>
      <c r="D52">
        <v>58</v>
      </c>
      <c r="E52" s="1">
        <v>22662</v>
      </c>
      <c r="F52" s="2">
        <v>44091.438923611109</v>
      </c>
      <c r="G52" t="s">
        <v>30</v>
      </c>
      <c r="H52" s="5">
        <v>2815</v>
      </c>
      <c r="I52" s="6">
        <f t="shared" si="11"/>
        <v>28.434343434343436</v>
      </c>
      <c r="J52" s="6">
        <v>5.2549999999999999</v>
      </c>
      <c r="K52" s="5">
        <v>99</v>
      </c>
      <c r="L52" s="5">
        <v>1490</v>
      </c>
      <c r="M52" s="6">
        <f t="shared" si="12"/>
        <v>15.05050505050505</v>
      </c>
      <c r="N52" s="6">
        <v>4.4390000000000001</v>
      </c>
      <c r="O52" s="5">
        <v>99</v>
      </c>
      <c r="Q52" s="5">
        <v>1996</v>
      </c>
      <c r="R52" s="6">
        <f t="shared" si="13"/>
        <v>19.96</v>
      </c>
      <c r="S52" s="6">
        <v>5.6710000000000003</v>
      </c>
      <c r="T52" s="5">
        <v>100</v>
      </c>
      <c r="U52" s="5">
        <v>485</v>
      </c>
      <c r="V52" s="6">
        <f t="shared" si="14"/>
        <v>4.8499999999999996</v>
      </c>
      <c r="W52" s="6">
        <v>1.982</v>
      </c>
      <c r="X52" s="5">
        <v>100</v>
      </c>
      <c r="Z52" s="6">
        <f t="shared" si="15"/>
        <v>1.8892617449664431</v>
      </c>
      <c r="AA52" s="6">
        <f t="shared" si="16"/>
        <v>4.1154639175257737</v>
      </c>
      <c r="AB52" s="11">
        <f t="shared" si="17"/>
        <v>1.1783450220651519</v>
      </c>
      <c r="AC52" t="s">
        <v>31</v>
      </c>
      <c r="AE52" s="15" t="s">
        <v>420</v>
      </c>
      <c r="AF52" s="4">
        <v>0.39374999999999999</v>
      </c>
      <c r="AG52" s="4">
        <v>0.44444444444444442</v>
      </c>
      <c r="AH52" s="4">
        <f t="shared" si="18"/>
        <v>5.0694444444444431E-2</v>
      </c>
      <c r="AI52" s="4">
        <f t="shared" si="10"/>
        <v>0.39374999999999999</v>
      </c>
      <c r="AJ52" s="4">
        <v>0.53472222222222221</v>
      </c>
      <c r="AK52" s="4">
        <f t="shared" si="19"/>
        <v>0.14097222222222222</v>
      </c>
      <c r="AM52" t="b">
        <v>1</v>
      </c>
    </row>
    <row r="53" spans="1:39" x14ac:dyDescent="0.3">
      <c r="A53" s="3" t="s">
        <v>155</v>
      </c>
      <c r="B53" t="s">
        <v>156</v>
      </c>
      <c r="C53" t="s">
        <v>29</v>
      </c>
      <c r="D53">
        <v>59</v>
      </c>
      <c r="E53" s="1">
        <v>22337</v>
      </c>
      <c r="F53" s="2">
        <v>44092.409328703703</v>
      </c>
      <c r="G53" t="s">
        <v>30</v>
      </c>
      <c r="H53" s="5">
        <v>4187</v>
      </c>
      <c r="I53" s="6">
        <f t="shared" si="11"/>
        <v>41.87</v>
      </c>
      <c r="J53" s="6">
        <v>8.1890000000000001</v>
      </c>
      <c r="K53" s="5">
        <v>100</v>
      </c>
      <c r="L53" s="5">
        <v>1844</v>
      </c>
      <c r="M53" s="6">
        <f t="shared" si="12"/>
        <v>18.440000000000001</v>
      </c>
      <c r="N53" s="6">
        <v>5.5019999999999998</v>
      </c>
      <c r="O53" s="5">
        <v>100</v>
      </c>
      <c r="Q53" s="5">
        <v>3056</v>
      </c>
      <c r="R53" s="6">
        <f t="shared" si="13"/>
        <v>30.868686868686869</v>
      </c>
      <c r="S53" s="6">
        <v>5.7240000000000002</v>
      </c>
      <c r="T53" s="5">
        <v>99</v>
      </c>
      <c r="U53" s="5">
        <v>636</v>
      </c>
      <c r="V53" s="6">
        <f t="shared" si="14"/>
        <v>6.4242424242424239</v>
      </c>
      <c r="W53" s="6">
        <v>2.552</v>
      </c>
      <c r="X53" s="5">
        <v>99</v>
      </c>
      <c r="Z53" s="6">
        <f t="shared" si="15"/>
        <v>2.2706073752711493</v>
      </c>
      <c r="AA53" s="6">
        <f t="shared" si="16"/>
        <v>4.8050314465408803</v>
      </c>
      <c r="AB53" s="11">
        <f t="shared" si="17"/>
        <v>1.116187720903125</v>
      </c>
      <c r="AC53" t="s">
        <v>40</v>
      </c>
      <c r="AE53" t="s">
        <v>422</v>
      </c>
      <c r="AF53" s="4">
        <v>0.37916666666666665</v>
      </c>
      <c r="AG53" s="4">
        <v>0.4236111111111111</v>
      </c>
      <c r="AH53" s="4">
        <f t="shared" si="18"/>
        <v>4.4444444444444453E-2</v>
      </c>
      <c r="AI53" s="4">
        <f t="shared" si="10"/>
        <v>0.37916666666666665</v>
      </c>
      <c r="AJ53" s="4">
        <v>0.52083333333333337</v>
      </c>
      <c r="AK53" s="4">
        <f t="shared" si="19"/>
        <v>0.14166666666666672</v>
      </c>
      <c r="AM53" t="b">
        <v>1</v>
      </c>
    </row>
    <row r="54" spans="1:39" x14ac:dyDescent="0.3">
      <c r="A54" s="3" t="s">
        <v>159</v>
      </c>
      <c r="B54" t="s">
        <v>160</v>
      </c>
      <c r="C54" t="s">
        <v>29</v>
      </c>
      <c r="D54">
        <v>62</v>
      </c>
      <c r="E54" s="1">
        <v>21187</v>
      </c>
      <c r="F54" s="2">
        <v>44095.414525462962</v>
      </c>
      <c r="G54" t="s">
        <v>30</v>
      </c>
      <c r="H54" s="5">
        <v>3646</v>
      </c>
      <c r="I54" s="6">
        <f t="shared" si="11"/>
        <v>36.46</v>
      </c>
      <c r="J54" s="6">
        <v>2.105</v>
      </c>
      <c r="K54" s="5">
        <v>100</v>
      </c>
      <c r="L54" s="5">
        <v>1409</v>
      </c>
      <c r="M54" s="6">
        <f t="shared" si="12"/>
        <v>14.09</v>
      </c>
      <c r="N54" s="6">
        <v>1.026</v>
      </c>
      <c r="O54" s="5">
        <v>100</v>
      </c>
      <c r="Q54" s="5">
        <v>2691</v>
      </c>
      <c r="R54" s="6">
        <f t="shared" si="13"/>
        <v>26.91</v>
      </c>
      <c r="S54" s="6">
        <v>2.6589999999999998</v>
      </c>
      <c r="T54" s="5">
        <v>100</v>
      </c>
      <c r="U54" s="5">
        <v>485</v>
      </c>
      <c r="V54" s="6">
        <f t="shared" si="14"/>
        <v>4.8499999999999996</v>
      </c>
      <c r="W54" s="6">
        <v>0.79600000000000004</v>
      </c>
      <c r="X54" s="5">
        <v>100</v>
      </c>
      <c r="Z54" s="6">
        <f t="shared" si="15"/>
        <v>2.5876508161816894</v>
      </c>
      <c r="AA54" s="6">
        <f t="shared" si="16"/>
        <v>5.5484536082474234</v>
      </c>
      <c r="AB54" s="11">
        <f t="shared" si="17"/>
        <v>1.144204918820795</v>
      </c>
      <c r="AC54" t="s">
        <v>53</v>
      </c>
      <c r="AE54" t="s">
        <v>421</v>
      </c>
      <c r="AF54" s="4">
        <v>0.38194444444444442</v>
      </c>
      <c r="AG54" s="4">
        <v>0.4236111111111111</v>
      </c>
      <c r="AH54" s="4">
        <f t="shared" si="18"/>
        <v>4.1666666666666685E-2</v>
      </c>
      <c r="AI54" s="4">
        <f t="shared" si="10"/>
        <v>0.38194444444444442</v>
      </c>
      <c r="AJ54" s="4">
        <v>0.51736111111111105</v>
      </c>
      <c r="AK54" s="4">
        <f t="shared" si="19"/>
        <v>0.13541666666666663</v>
      </c>
      <c r="AM54" t="b">
        <v>1</v>
      </c>
    </row>
    <row r="55" spans="1:39" x14ac:dyDescent="0.3">
      <c r="A55" s="3" t="s">
        <v>157</v>
      </c>
      <c r="B55" t="s">
        <v>158</v>
      </c>
      <c r="C55" t="s">
        <v>29</v>
      </c>
      <c r="D55">
        <v>61</v>
      </c>
      <c r="E55" s="1">
        <v>21560</v>
      </c>
      <c r="F55" s="2">
        <v>44095.418969907405</v>
      </c>
      <c r="G55" t="s">
        <v>30</v>
      </c>
      <c r="H55" s="5">
        <v>2637</v>
      </c>
      <c r="I55" s="6">
        <f t="shared" si="11"/>
        <v>26.37</v>
      </c>
      <c r="J55" s="6">
        <v>5.2489999999999997</v>
      </c>
      <c r="K55" s="5">
        <v>100</v>
      </c>
      <c r="L55" s="5">
        <v>1632</v>
      </c>
      <c r="M55" s="6">
        <f t="shared" si="12"/>
        <v>16.32</v>
      </c>
      <c r="N55" s="6">
        <v>4.4059999999999997</v>
      </c>
      <c r="O55" s="5">
        <v>100</v>
      </c>
      <c r="Q55" s="5">
        <v>1515</v>
      </c>
      <c r="R55" s="6">
        <f t="shared" si="13"/>
        <v>15.15</v>
      </c>
      <c r="S55" s="6">
        <v>3.7530000000000001</v>
      </c>
      <c r="T55" s="5">
        <v>100</v>
      </c>
      <c r="U55" s="5">
        <v>531</v>
      </c>
      <c r="V55" s="6">
        <f t="shared" si="14"/>
        <v>5.31</v>
      </c>
      <c r="W55" s="6">
        <v>2.2770000000000001</v>
      </c>
      <c r="X55" s="5">
        <v>100</v>
      </c>
      <c r="Z55" s="6">
        <f t="shared" si="15"/>
        <v>1.6158088235294119</v>
      </c>
      <c r="AA55" s="6">
        <f t="shared" si="16"/>
        <v>2.8531073446327686</v>
      </c>
      <c r="AB55" s="11">
        <f t="shared" si="17"/>
        <v>0.76574561488080317</v>
      </c>
      <c r="AC55" t="s">
        <v>31</v>
      </c>
      <c r="AE55" t="s">
        <v>421</v>
      </c>
      <c r="AF55" s="4">
        <v>0.36944444444444446</v>
      </c>
      <c r="AG55" s="4">
        <v>0.4236111111111111</v>
      </c>
      <c r="AH55" s="4">
        <f t="shared" si="18"/>
        <v>5.4166666666666641E-2</v>
      </c>
      <c r="AI55" s="4">
        <f t="shared" si="10"/>
        <v>0.36944444444444446</v>
      </c>
      <c r="AJ55" s="4">
        <v>0.52083333333333337</v>
      </c>
      <c r="AK55" s="4">
        <f t="shared" si="19"/>
        <v>0.15138888888888891</v>
      </c>
      <c r="AM55" t="b">
        <v>1</v>
      </c>
    </row>
    <row r="56" spans="1:39" x14ac:dyDescent="0.3">
      <c r="A56" s="3" t="s">
        <v>161</v>
      </c>
      <c r="B56" t="s">
        <v>162</v>
      </c>
      <c r="C56" t="s">
        <v>29</v>
      </c>
      <c r="D56">
        <v>55</v>
      </c>
      <c r="E56" s="1">
        <v>24002</v>
      </c>
      <c r="F56" s="2">
        <v>44096.438333333332</v>
      </c>
      <c r="G56" t="s">
        <v>30</v>
      </c>
      <c r="H56" s="5">
        <v>3143</v>
      </c>
      <c r="I56" s="6">
        <f t="shared" si="11"/>
        <v>31.747474747474747</v>
      </c>
      <c r="J56" s="6">
        <v>5.984</v>
      </c>
      <c r="K56" s="5">
        <v>99</v>
      </c>
      <c r="L56" s="5">
        <v>1376</v>
      </c>
      <c r="M56" s="6">
        <f t="shared" si="12"/>
        <v>13.8989898989899</v>
      </c>
      <c r="N56" s="6">
        <v>3.5070000000000001</v>
      </c>
      <c r="O56" s="5">
        <v>99</v>
      </c>
      <c r="Q56" s="5">
        <v>2340</v>
      </c>
      <c r="R56" s="6">
        <f t="shared" si="13"/>
        <v>23.4</v>
      </c>
      <c r="S56" s="6">
        <v>5.9459999999999997</v>
      </c>
      <c r="T56" s="5">
        <v>100</v>
      </c>
      <c r="U56" s="5">
        <v>489</v>
      </c>
      <c r="V56" s="6">
        <f t="shared" si="14"/>
        <v>4.8899999999999997</v>
      </c>
      <c r="W56" s="6">
        <v>2.0840000000000001</v>
      </c>
      <c r="X56" s="5">
        <v>100</v>
      </c>
      <c r="Z56" s="6">
        <f t="shared" si="15"/>
        <v>2.2841569767441858</v>
      </c>
      <c r="AA56" s="6">
        <f t="shared" si="16"/>
        <v>4.7852760736196318</v>
      </c>
      <c r="AB56" s="11">
        <f t="shared" si="17"/>
        <v>1.0949856434300393</v>
      </c>
      <c r="AC56" t="s">
        <v>31</v>
      </c>
      <c r="AE56" t="s">
        <v>421</v>
      </c>
      <c r="AF56" s="4">
        <v>0.37986111111111115</v>
      </c>
      <c r="AG56" s="4">
        <v>0.4375</v>
      </c>
      <c r="AH56" s="4">
        <f t="shared" si="18"/>
        <v>5.7638888888888851E-2</v>
      </c>
      <c r="AI56" s="4">
        <f t="shared" si="10"/>
        <v>0.37986111111111115</v>
      </c>
      <c r="AJ56" s="4">
        <v>0.52083333333333337</v>
      </c>
      <c r="AK56" s="4">
        <f t="shared" si="19"/>
        <v>0.14097222222222222</v>
      </c>
      <c r="AM56" t="b">
        <v>1</v>
      </c>
    </row>
    <row r="57" spans="1:39" x14ac:dyDescent="0.3">
      <c r="A57" s="3" t="s">
        <v>163</v>
      </c>
      <c r="B57" t="s">
        <v>164</v>
      </c>
      <c r="C57" t="s">
        <v>29</v>
      </c>
      <c r="D57">
        <v>61</v>
      </c>
      <c r="E57" s="1">
        <v>21599</v>
      </c>
      <c r="F57" s="2">
        <v>44097.426562499997</v>
      </c>
      <c r="G57" t="s">
        <v>30</v>
      </c>
      <c r="H57" s="5">
        <v>3419</v>
      </c>
      <c r="I57" s="6">
        <f t="shared" si="11"/>
        <v>34.19</v>
      </c>
      <c r="J57" s="6">
        <v>5.3630000000000004</v>
      </c>
      <c r="K57" s="5">
        <v>100</v>
      </c>
      <c r="L57" s="5">
        <v>1076</v>
      </c>
      <c r="M57" s="6">
        <f t="shared" si="12"/>
        <v>10.76</v>
      </c>
      <c r="N57" s="6">
        <v>3.032</v>
      </c>
      <c r="O57" s="5">
        <v>100</v>
      </c>
      <c r="Q57" s="5">
        <v>2385</v>
      </c>
      <c r="R57" s="6">
        <f t="shared" si="13"/>
        <v>23.85</v>
      </c>
      <c r="S57" s="6">
        <v>5.0060000000000002</v>
      </c>
      <c r="T57" s="5">
        <v>100</v>
      </c>
      <c r="U57" s="5">
        <v>422</v>
      </c>
      <c r="V57" s="6">
        <f t="shared" si="14"/>
        <v>4.22</v>
      </c>
      <c r="W57" s="6">
        <v>2.0430000000000001</v>
      </c>
      <c r="X57" s="5">
        <v>100</v>
      </c>
      <c r="Z57" s="6">
        <f t="shared" si="15"/>
        <v>3.1775092936802971</v>
      </c>
      <c r="AA57" s="6">
        <f t="shared" si="16"/>
        <v>5.6516587677725125</v>
      </c>
      <c r="AB57" s="11">
        <f t="shared" si="17"/>
        <v>0.77864429193425677</v>
      </c>
      <c r="AC57" t="s">
        <v>31</v>
      </c>
      <c r="AE57" t="s">
        <v>420</v>
      </c>
      <c r="AF57" s="4">
        <v>0.37361111111111112</v>
      </c>
      <c r="AG57" s="4">
        <v>0.4375</v>
      </c>
      <c r="AH57" s="4">
        <f t="shared" si="18"/>
        <v>6.3888888888888884E-2</v>
      </c>
      <c r="AI57" s="4">
        <f t="shared" si="10"/>
        <v>0.37361111111111112</v>
      </c>
      <c r="AJ57" s="4">
        <v>0.52083333333333337</v>
      </c>
      <c r="AK57" s="4">
        <f t="shared" si="19"/>
        <v>0.14722222222222225</v>
      </c>
      <c r="AM57" t="b">
        <v>1</v>
      </c>
    </row>
    <row r="58" spans="1:39" x14ac:dyDescent="0.3">
      <c r="A58" s="3" t="s">
        <v>165</v>
      </c>
      <c r="B58" t="s">
        <v>166</v>
      </c>
      <c r="C58" t="s">
        <v>52</v>
      </c>
      <c r="D58">
        <v>47</v>
      </c>
      <c r="E58" s="1">
        <v>26915</v>
      </c>
      <c r="F58" s="2">
        <v>44098.406377314815</v>
      </c>
      <c r="G58" t="s">
        <v>30</v>
      </c>
      <c r="H58" s="5">
        <v>2702</v>
      </c>
      <c r="I58" s="6">
        <f t="shared" si="11"/>
        <v>27.292929292929294</v>
      </c>
      <c r="J58" s="6">
        <v>4.6120000000000001</v>
      </c>
      <c r="K58" s="5">
        <v>99</v>
      </c>
      <c r="L58" s="5">
        <v>1402</v>
      </c>
      <c r="M58" s="6">
        <f t="shared" si="12"/>
        <v>14.161616161616161</v>
      </c>
      <c r="N58" s="6">
        <v>3.6360000000000001</v>
      </c>
      <c r="O58" s="5">
        <v>99</v>
      </c>
      <c r="Q58" s="5">
        <v>1939</v>
      </c>
      <c r="R58" s="6">
        <f t="shared" si="13"/>
        <v>19.585858585858585</v>
      </c>
      <c r="S58" s="6">
        <v>5.4790000000000001</v>
      </c>
      <c r="T58" s="5">
        <v>99</v>
      </c>
      <c r="U58" s="5">
        <v>607</v>
      </c>
      <c r="V58" s="6">
        <f t="shared" si="14"/>
        <v>6.1313131313131315</v>
      </c>
      <c r="W58" s="6">
        <v>2.2160000000000002</v>
      </c>
      <c r="X58" s="5">
        <v>99</v>
      </c>
      <c r="Z58" s="6">
        <f t="shared" si="15"/>
        <v>1.9272467902995722</v>
      </c>
      <c r="AA58" s="6">
        <f t="shared" si="16"/>
        <v>3.1943986820428334</v>
      </c>
      <c r="AB58" s="11">
        <f t="shared" si="17"/>
        <v>0.65749332058625165</v>
      </c>
      <c r="AC58" t="s">
        <v>40</v>
      </c>
      <c r="AE58" t="s">
        <v>421</v>
      </c>
      <c r="AF58" s="4">
        <v>0.38194444444444442</v>
      </c>
      <c r="AG58" s="4">
        <v>0.4375</v>
      </c>
      <c r="AH58" s="4">
        <f t="shared" si="18"/>
        <v>5.555555555555558E-2</v>
      </c>
      <c r="AI58" s="4">
        <f t="shared" si="10"/>
        <v>0.38194444444444442</v>
      </c>
      <c r="AJ58" s="4">
        <v>0.52083333333333337</v>
      </c>
      <c r="AK58" s="4">
        <f t="shared" si="19"/>
        <v>0.13888888888888895</v>
      </c>
      <c r="AM58" t="b">
        <v>1</v>
      </c>
    </row>
    <row r="59" spans="1:39" x14ac:dyDescent="0.3">
      <c r="A59" s="3" t="s">
        <v>167</v>
      </c>
      <c r="B59" t="s">
        <v>168</v>
      </c>
      <c r="C59" t="s">
        <v>29</v>
      </c>
      <c r="D59">
        <v>41</v>
      </c>
      <c r="E59" s="1">
        <v>28795</v>
      </c>
      <c r="F59" s="2">
        <v>44098.42591435185</v>
      </c>
      <c r="G59" t="s">
        <v>30</v>
      </c>
      <c r="H59" s="5">
        <v>1828</v>
      </c>
      <c r="I59" s="6">
        <f t="shared" si="11"/>
        <v>18.28</v>
      </c>
      <c r="J59" s="6">
        <v>4.367</v>
      </c>
      <c r="K59" s="5">
        <v>100</v>
      </c>
      <c r="L59" s="5">
        <v>926</v>
      </c>
      <c r="M59" s="6">
        <f t="shared" si="12"/>
        <v>9.26</v>
      </c>
      <c r="N59" s="6">
        <v>3.024</v>
      </c>
      <c r="O59" s="5">
        <v>100</v>
      </c>
      <c r="Q59" s="5">
        <v>1175</v>
      </c>
      <c r="R59" s="6">
        <f t="shared" si="13"/>
        <v>11.75</v>
      </c>
      <c r="S59" s="6">
        <v>3.5939999999999999</v>
      </c>
      <c r="T59" s="5">
        <v>100</v>
      </c>
      <c r="U59" s="5">
        <v>329</v>
      </c>
      <c r="V59" s="6">
        <f t="shared" si="14"/>
        <v>3.29</v>
      </c>
      <c r="W59" s="6">
        <v>1.93</v>
      </c>
      <c r="X59" s="5">
        <v>100</v>
      </c>
      <c r="Z59" s="6">
        <f t="shared" si="15"/>
        <v>1.9740820734341253</v>
      </c>
      <c r="AA59" s="6">
        <f t="shared" si="16"/>
        <v>3.5714285714285712</v>
      </c>
      <c r="AB59" s="11">
        <f t="shared" si="17"/>
        <v>0.80915911222256931</v>
      </c>
      <c r="AC59" t="s">
        <v>31</v>
      </c>
      <c r="AE59" t="s">
        <v>421</v>
      </c>
      <c r="AF59" s="4">
        <v>0.3743055555555555</v>
      </c>
      <c r="AG59" s="4">
        <v>0.43055555555555558</v>
      </c>
      <c r="AH59" s="4">
        <f t="shared" si="18"/>
        <v>5.6250000000000078E-2</v>
      </c>
      <c r="AI59" s="4">
        <f t="shared" si="10"/>
        <v>0.3743055555555555</v>
      </c>
      <c r="AJ59" s="4">
        <v>0.52083333333333337</v>
      </c>
      <c r="AK59" s="4">
        <f t="shared" si="19"/>
        <v>0.14652777777777787</v>
      </c>
      <c r="AM59" t="b">
        <v>1</v>
      </c>
    </row>
    <row r="60" spans="1:39" x14ac:dyDescent="0.3">
      <c r="A60" s="3" t="s">
        <v>171</v>
      </c>
      <c r="B60" t="s">
        <v>172</v>
      </c>
      <c r="C60" t="s">
        <v>29</v>
      </c>
      <c r="D60">
        <v>54</v>
      </c>
      <c r="E60" s="1">
        <v>24263</v>
      </c>
      <c r="F60" s="2">
        <v>44099.419537037036</v>
      </c>
      <c r="G60" t="s">
        <v>30</v>
      </c>
      <c r="H60" s="5">
        <v>1889</v>
      </c>
      <c r="I60" s="6">
        <f t="shared" si="11"/>
        <v>18.89</v>
      </c>
      <c r="J60" s="6">
        <v>4.7690000000000001</v>
      </c>
      <c r="K60" s="5">
        <v>100</v>
      </c>
      <c r="L60" s="5">
        <v>1235</v>
      </c>
      <c r="M60" s="6">
        <f t="shared" si="12"/>
        <v>12.35</v>
      </c>
      <c r="N60" s="6">
        <v>3.802</v>
      </c>
      <c r="O60" s="5">
        <v>100</v>
      </c>
      <c r="Q60" s="5">
        <v>1248</v>
      </c>
      <c r="R60" s="6">
        <f t="shared" si="13"/>
        <v>12.606060606060606</v>
      </c>
      <c r="S60" s="6">
        <v>3.93</v>
      </c>
      <c r="T60" s="5">
        <v>99</v>
      </c>
      <c r="U60" s="5">
        <v>404</v>
      </c>
      <c r="V60" s="6">
        <f t="shared" si="14"/>
        <v>4.0808080808080804</v>
      </c>
      <c r="W60" s="6">
        <v>2.0640000000000001</v>
      </c>
      <c r="X60" s="5">
        <v>99</v>
      </c>
      <c r="Z60" s="6">
        <f t="shared" si="15"/>
        <v>1.5295546558704454</v>
      </c>
      <c r="AA60" s="6">
        <f t="shared" si="16"/>
        <v>3.0891089108910892</v>
      </c>
      <c r="AB60" s="11">
        <f t="shared" si="17"/>
        <v>1.0196132900743753</v>
      </c>
      <c r="AC60" t="s">
        <v>31</v>
      </c>
      <c r="AE60" t="s">
        <v>421</v>
      </c>
      <c r="AF60" s="4">
        <v>0.37152777777777773</v>
      </c>
      <c r="AG60" s="4">
        <v>0.43055555555555558</v>
      </c>
      <c r="AH60" s="4">
        <f t="shared" si="18"/>
        <v>5.9027777777777846E-2</v>
      </c>
      <c r="AI60" s="4">
        <f t="shared" si="10"/>
        <v>0.37152777777777773</v>
      </c>
      <c r="AJ60" s="4">
        <v>0.52083333333333337</v>
      </c>
      <c r="AK60" s="4">
        <f t="shared" si="19"/>
        <v>0.14930555555555564</v>
      </c>
      <c r="AM60" t="b">
        <v>1</v>
      </c>
    </row>
    <row r="61" spans="1:39" x14ac:dyDescent="0.3">
      <c r="A61" s="3" t="s">
        <v>169</v>
      </c>
      <c r="B61" t="s">
        <v>170</v>
      </c>
      <c r="C61" t="s">
        <v>29</v>
      </c>
      <c r="D61">
        <v>73</v>
      </c>
      <c r="E61" s="1">
        <v>17085</v>
      </c>
      <c r="F61" s="2">
        <v>44099.425092592595</v>
      </c>
      <c r="G61" t="s">
        <v>30</v>
      </c>
      <c r="H61" s="5">
        <v>3614</v>
      </c>
      <c r="I61" s="6">
        <f t="shared" si="11"/>
        <v>36.14</v>
      </c>
      <c r="J61" s="6">
        <v>5.5179999999999998</v>
      </c>
      <c r="K61" s="5">
        <v>100</v>
      </c>
      <c r="L61" s="5">
        <v>1610</v>
      </c>
      <c r="M61" s="6">
        <f t="shared" si="12"/>
        <v>16.100000000000001</v>
      </c>
      <c r="N61" s="6">
        <v>4.298</v>
      </c>
      <c r="O61" s="5">
        <v>100</v>
      </c>
      <c r="Q61" s="5">
        <v>2669</v>
      </c>
      <c r="R61" s="6">
        <f t="shared" si="13"/>
        <v>26.69</v>
      </c>
      <c r="S61" s="6">
        <v>5.4210000000000003</v>
      </c>
      <c r="T61" s="5">
        <v>100</v>
      </c>
      <c r="U61" s="5">
        <v>682</v>
      </c>
      <c r="V61" s="6">
        <f t="shared" si="14"/>
        <v>6.82</v>
      </c>
      <c r="W61" s="6">
        <v>2.823</v>
      </c>
      <c r="X61" s="5">
        <v>100</v>
      </c>
      <c r="Z61" s="6">
        <f t="shared" si="15"/>
        <v>2.2447204968944097</v>
      </c>
      <c r="AA61" s="6">
        <f t="shared" si="16"/>
        <v>3.9134897360703813</v>
      </c>
      <c r="AB61" s="11">
        <f t="shared" si="17"/>
        <v>0.74341961125437594</v>
      </c>
      <c r="AC61" t="s">
        <v>40</v>
      </c>
      <c r="AE61" t="s">
        <v>421</v>
      </c>
      <c r="AF61" s="4">
        <v>0.38541666666666669</v>
      </c>
      <c r="AG61" s="4">
        <v>0.43055555555555558</v>
      </c>
      <c r="AH61" s="4">
        <f t="shared" si="18"/>
        <v>4.5138888888888895E-2</v>
      </c>
      <c r="AI61" s="4">
        <f t="shared" si="10"/>
        <v>0.38541666666666669</v>
      </c>
      <c r="AJ61" s="4">
        <v>0.52083333333333337</v>
      </c>
      <c r="AK61" s="4">
        <f t="shared" si="19"/>
        <v>0.13541666666666669</v>
      </c>
      <c r="AM61" t="b">
        <v>1</v>
      </c>
    </row>
    <row r="62" spans="1:39" x14ac:dyDescent="0.3">
      <c r="A62" s="3" t="s">
        <v>173</v>
      </c>
      <c r="B62" t="s">
        <v>174</v>
      </c>
      <c r="C62" t="s">
        <v>29</v>
      </c>
      <c r="D62">
        <v>58</v>
      </c>
      <c r="E62" s="1">
        <v>22834</v>
      </c>
      <c r="F62" s="2">
        <v>44102.412442129629</v>
      </c>
      <c r="G62" t="s">
        <v>30</v>
      </c>
      <c r="H62" s="5">
        <v>4120</v>
      </c>
      <c r="I62" s="6">
        <f t="shared" si="11"/>
        <v>41.2</v>
      </c>
      <c r="J62" s="6">
        <v>7.9649999999999999</v>
      </c>
      <c r="K62" s="5">
        <v>100</v>
      </c>
      <c r="L62" s="5">
        <v>1315</v>
      </c>
      <c r="M62" s="6">
        <f t="shared" si="12"/>
        <v>13.15</v>
      </c>
      <c r="N62" s="6">
        <v>3.1949999999999998</v>
      </c>
      <c r="O62" s="5">
        <v>100</v>
      </c>
      <c r="Q62" s="5">
        <v>3149</v>
      </c>
      <c r="R62" s="6">
        <f t="shared" si="13"/>
        <v>31.49</v>
      </c>
      <c r="S62" s="6">
        <v>7.2370000000000001</v>
      </c>
      <c r="T62" s="5">
        <v>100</v>
      </c>
      <c r="U62" s="5">
        <v>524</v>
      </c>
      <c r="V62" s="6">
        <f t="shared" si="14"/>
        <v>5.24</v>
      </c>
      <c r="W62" s="6">
        <v>2.5190000000000001</v>
      </c>
      <c r="X62" s="5">
        <v>100</v>
      </c>
      <c r="Z62" s="6">
        <f t="shared" si="15"/>
        <v>3.1330798479087454</v>
      </c>
      <c r="AA62" s="6">
        <f t="shared" si="16"/>
        <v>6.0095419847328237</v>
      </c>
      <c r="AB62" s="11">
        <f t="shared" si="17"/>
        <v>0.91809410435040362</v>
      </c>
      <c r="AC62" t="s">
        <v>40</v>
      </c>
      <c r="AE62" t="s">
        <v>420</v>
      </c>
      <c r="AF62" s="4">
        <v>0.37152777777777773</v>
      </c>
      <c r="AG62" s="4">
        <v>0.4375</v>
      </c>
      <c r="AH62" s="4">
        <f t="shared" si="18"/>
        <v>6.5972222222222265E-2</v>
      </c>
      <c r="AI62" s="4">
        <f t="shared" si="10"/>
        <v>0.37152777777777773</v>
      </c>
      <c r="AJ62" s="4">
        <v>0.52083333333333337</v>
      </c>
      <c r="AK62" s="4">
        <f t="shared" si="19"/>
        <v>0.14930555555555564</v>
      </c>
      <c r="AM62" t="b">
        <v>1</v>
      </c>
    </row>
    <row r="63" spans="1:39" x14ac:dyDescent="0.3">
      <c r="A63" s="3" t="s">
        <v>175</v>
      </c>
      <c r="B63" t="s">
        <v>176</v>
      </c>
      <c r="C63" t="s">
        <v>29</v>
      </c>
      <c r="D63">
        <v>46</v>
      </c>
      <c r="E63" s="1">
        <v>27053</v>
      </c>
      <c r="F63" s="2">
        <v>44102.441886574074</v>
      </c>
      <c r="G63" t="s">
        <v>30</v>
      </c>
      <c r="H63" s="5">
        <v>2232</v>
      </c>
      <c r="I63" s="6">
        <f t="shared" si="11"/>
        <v>22.545454545454547</v>
      </c>
      <c r="J63" s="6">
        <v>1.8140000000000001</v>
      </c>
      <c r="K63" s="5">
        <v>99</v>
      </c>
      <c r="L63" s="5">
        <v>921</v>
      </c>
      <c r="M63" s="6">
        <f t="shared" si="12"/>
        <v>9.3030303030303028</v>
      </c>
      <c r="N63" s="6">
        <v>0.874</v>
      </c>
      <c r="O63" s="5">
        <v>99</v>
      </c>
      <c r="Q63" s="5">
        <v>1539</v>
      </c>
      <c r="R63" s="6">
        <f t="shared" si="13"/>
        <v>15.39</v>
      </c>
      <c r="S63" s="6">
        <v>1.246</v>
      </c>
      <c r="T63" s="5">
        <v>100</v>
      </c>
      <c r="U63" s="5">
        <v>256</v>
      </c>
      <c r="V63" s="6">
        <f t="shared" si="14"/>
        <v>2.56</v>
      </c>
      <c r="W63" s="6">
        <v>0.55600000000000005</v>
      </c>
      <c r="X63" s="5">
        <v>100</v>
      </c>
      <c r="Z63" s="6">
        <f t="shared" si="15"/>
        <v>2.4234527687296419</v>
      </c>
      <c r="AA63" s="6">
        <f t="shared" si="16"/>
        <v>6.01171875</v>
      </c>
      <c r="AB63" s="11">
        <f t="shared" si="17"/>
        <v>1.4806420110887095</v>
      </c>
      <c r="AC63" t="s">
        <v>39</v>
      </c>
      <c r="AE63" t="s">
        <v>420</v>
      </c>
      <c r="AF63" s="4">
        <v>0.38472222222222219</v>
      </c>
      <c r="AG63" s="4">
        <v>0.44444444444444442</v>
      </c>
      <c r="AH63" s="4">
        <f t="shared" si="18"/>
        <v>5.9722222222222232E-2</v>
      </c>
      <c r="AI63" s="4">
        <f t="shared" ref="AI63:AI94" si="20">AF63</f>
        <v>0.38472222222222219</v>
      </c>
      <c r="AJ63" s="4">
        <v>0.54166666666666663</v>
      </c>
      <c r="AK63" s="4">
        <f t="shared" si="19"/>
        <v>0.15694444444444444</v>
      </c>
      <c r="AM63" t="b">
        <v>1</v>
      </c>
    </row>
    <row r="64" spans="1:39" x14ac:dyDescent="0.3">
      <c r="A64" s="3" t="s">
        <v>177</v>
      </c>
      <c r="B64" t="s">
        <v>178</v>
      </c>
      <c r="C64" t="s">
        <v>29</v>
      </c>
      <c r="D64">
        <v>68</v>
      </c>
      <c r="E64" s="1">
        <v>19173</v>
      </c>
      <c r="F64" s="2">
        <v>44111.420729166668</v>
      </c>
      <c r="G64" t="s">
        <v>30</v>
      </c>
      <c r="H64" s="5">
        <v>3288</v>
      </c>
      <c r="I64" s="6">
        <f t="shared" si="11"/>
        <v>33.212121212121211</v>
      </c>
      <c r="J64" s="6">
        <v>7.2960000000000003</v>
      </c>
      <c r="K64" s="5">
        <v>99</v>
      </c>
      <c r="L64" s="5">
        <v>1844</v>
      </c>
      <c r="M64" s="6">
        <f t="shared" si="12"/>
        <v>18.626262626262626</v>
      </c>
      <c r="N64" s="6">
        <v>5.1870000000000003</v>
      </c>
      <c r="O64" s="5">
        <v>99</v>
      </c>
      <c r="Q64" s="5">
        <v>2377</v>
      </c>
      <c r="R64" s="6">
        <f t="shared" si="13"/>
        <v>24.01010101010101</v>
      </c>
      <c r="S64" s="6">
        <v>5.9859999999999998</v>
      </c>
      <c r="T64" s="5">
        <v>99</v>
      </c>
      <c r="U64" s="5">
        <v>716</v>
      </c>
      <c r="V64" s="6">
        <f t="shared" si="14"/>
        <v>7.2323232323232327</v>
      </c>
      <c r="W64" s="6">
        <v>2.7879999999999998</v>
      </c>
      <c r="X64" s="5">
        <v>99</v>
      </c>
      <c r="Z64" s="6">
        <f t="shared" si="15"/>
        <v>1.7830802603036875</v>
      </c>
      <c r="AA64" s="6">
        <f t="shared" si="16"/>
        <v>3.3198324022346366</v>
      </c>
      <c r="AB64" s="11">
        <f t="shared" si="17"/>
        <v>0.86185247862550807</v>
      </c>
      <c r="AC64" t="s">
        <v>40</v>
      </c>
      <c r="AE64" t="s">
        <v>421</v>
      </c>
      <c r="AF64" s="4">
        <v>0.40833333333333338</v>
      </c>
      <c r="AG64" s="4">
        <v>0.44444444444444442</v>
      </c>
      <c r="AH64" s="4">
        <f t="shared" si="18"/>
        <v>3.6111111111111038E-2</v>
      </c>
      <c r="AI64" s="4">
        <f t="shared" si="20"/>
        <v>0.40833333333333338</v>
      </c>
      <c r="AJ64" s="4">
        <v>0.53472222222222221</v>
      </c>
      <c r="AK64" s="4">
        <f t="shared" si="19"/>
        <v>0.12638888888888883</v>
      </c>
      <c r="AM64" t="b">
        <v>1</v>
      </c>
    </row>
    <row r="65" spans="1:39" x14ac:dyDescent="0.3">
      <c r="A65" s="3" t="s">
        <v>179</v>
      </c>
      <c r="B65" t="s">
        <v>180</v>
      </c>
      <c r="C65" t="s">
        <v>29</v>
      </c>
      <c r="D65">
        <v>55</v>
      </c>
      <c r="E65" s="1">
        <v>23980</v>
      </c>
      <c r="F65" s="2">
        <v>44111.435497685183</v>
      </c>
      <c r="G65" t="s">
        <v>30</v>
      </c>
      <c r="H65" s="5">
        <v>2912</v>
      </c>
      <c r="I65" s="6">
        <f t="shared" si="11"/>
        <v>29.12</v>
      </c>
      <c r="J65" s="6">
        <v>1.95</v>
      </c>
      <c r="K65" s="5">
        <v>100</v>
      </c>
      <c r="L65" s="5">
        <v>1648</v>
      </c>
      <c r="M65" s="6">
        <f t="shared" si="12"/>
        <v>16.48</v>
      </c>
      <c r="N65" s="6">
        <v>1.956</v>
      </c>
      <c r="O65" s="5">
        <v>100</v>
      </c>
      <c r="Q65" s="5">
        <v>2065</v>
      </c>
      <c r="R65" s="6">
        <f t="shared" si="13"/>
        <v>20.65</v>
      </c>
      <c r="S65" s="6">
        <v>1.766</v>
      </c>
      <c r="T65" s="5">
        <v>100</v>
      </c>
      <c r="U65" s="5">
        <v>631</v>
      </c>
      <c r="V65" s="6">
        <f t="shared" si="14"/>
        <v>6.31</v>
      </c>
      <c r="W65" s="6">
        <v>0.86099999999999999</v>
      </c>
      <c r="X65" s="5">
        <v>100</v>
      </c>
      <c r="Z65" s="6">
        <f t="shared" si="15"/>
        <v>1.766990291262136</v>
      </c>
      <c r="AA65" s="6">
        <f t="shared" si="16"/>
        <v>3.2725832012678286</v>
      </c>
      <c r="AB65" s="11">
        <f t="shared" si="17"/>
        <v>0.85206631720102377</v>
      </c>
      <c r="AC65" t="s">
        <v>53</v>
      </c>
      <c r="AE65" t="s">
        <v>421</v>
      </c>
      <c r="AF65" s="4">
        <v>0.38055555555555554</v>
      </c>
      <c r="AG65" s="4">
        <v>0.4375</v>
      </c>
      <c r="AH65" s="4">
        <f t="shared" si="18"/>
        <v>5.6944444444444464E-2</v>
      </c>
      <c r="AI65" s="4">
        <f t="shared" si="20"/>
        <v>0.38055555555555554</v>
      </c>
      <c r="AJ65" s="4">
        <v>0.51736111111111105</v>
      </c>
      <c r="AK65" s="4">
        <f t="shared" si="19"/>
        <v>0.13680555555555551</v>
      </c>
      <c r="AM65" t="b">
        <v>1</v>
      </c>
    </row>
    <row r="66" spans="1:39" x14ac:dyDescent="0.3">
      <c r="A66" s="3" t="s">
        <v>181</v>
      </c>
      <c r="B66" t="s">
        <v>182</v>
      </c>
      <c r="C66" t="s">
        <v>29</v>
      </c>
      <c r="D66">
        <v>59</v>
      </c>
      <c r="E66" s="1">
        <v>22527</v>
      </c>
      <c r="F66" s="2">
        <v>44112.422233796293</v>
      </c>
      <c r="G66" t="s">
        <v>30</v>
      </c>
      <c r="H66" s="5">
        <v>3018</v>
      </c>
      <c r="I66" s="6">
        <f t="shared" ref="I66:I97" si="21">H66/K66</f>
        <v>30.18</v>
      </c>
      <c r="J66" s="6">
        <v>5.21</v>
      </c>
      <c r="K66" s="5">
        <v>100</v>
      </c>
      <c r="L66" s="5">
        <v>1088</v>
      </c>
      <c r="M66" s="6">
        <f t="shared" ref="M66:M97" si="22">L66/O66</f>
        <v>10.88</v>
      </c>
      <c r="N66" s="6">
        <v>3.45</v>
      </c>
      <c r="O66" s="5">
        <v>100</v>
      </c>
      <c r="Q66" s="5">
        <v>1972</v>
      </c>
      <c r="R66" s="6">
        <f t="shared" ref="R66:R97" si="23">Q66/T66</f>
        <v>19.91919191919192</v>
      </c>
      <c r="S66" s="6">
        <v>4.7140000000000004</v>
      </c>
      <c r="T66" s="5">
        <v>99</v>
      </c>
      <c r="U66" s="5">
        <v>334</v>
      </c>
      <c r="V66" s="6">
        <f t="shared" ref="V66:V97" si="24">U66/X66</f>
        <v>3.3737373737373737</v>
      </c>
      <c r="W66" s="6">
        <v>1.877</v>
      </c>
      <c r="X66" s="5">
        <v>99</v>
      </c>
      <c r="Z66" s="6">
        <f t="shared" ref="Z66:Z97" si="25">I66/M66</f>
        <v>2.773897058823529</v>
      </c>
      <c r="AA66" s="6">
        <f t="shared" ref="AA66:AA97" si="26">R66/V66</f>
        <v>5.9041916167664672</v>
      </c>
      <c r="AB66" s="11">
        <f t="shared" ref="AB66:AB97" si="27">(AA66-Z66)/Z66</f>
        <v>1.1284825974293962</v>
      </c>
      <c r="AC66" t="s">
        <v>31</v>
      </c>
      <c r="AE66" t="s">
        <v>420</v>
      </c>
      <c r="AF66" s="4">
        <v>0.375</v>
      </c>
      <c r="AG66" s="4">
        <v>0.4375</v>
      </c>
      <c r="AH66" s="4">
        <f t="shared" ref="AH66:AH97" si="28">AG66-AF66</f>
        <v>6.25E-2</v>
      </c>
      <c r="AI66" s="4">
        <f t="shared" si="20"/>
        <v>0.375</v>
      </c>
      <c r="AJ66" s="4">
        <v>0.52083333333333337</v>
      </c>
      <c r="AK66" s="4">
        <f t="shared" ref="AK66:AK97" si="29">AJ66-AI66</f>
        <v>0.14583333333333337</v>
      </c>
      <c r="AM66" t="b">
        <v>1</v>
      </c>
    </row>
    <row r="67" spans="1:39" x14ac:dyDescent="0.3">
      <c r="A67" s="3" t="s">
        <v>183</v>
      </c>
      <c r="B67" t="s">
        <v>184</v>
      </c>
      <c r="C67" t="s">
        <v>29</v>
      </c>
      <c r="D67">
        <v>66</v>
      </c>
      <c r="E67" s="1">
        <v>19794</v>
      </c>
      <c r="F67" s="2">
        <v>44118.405833333331</v>
      </c>
      <c r="G67" t="s">
        <v>30</v>
      </c>
      <c r="H67" s="5">
        <v>3702</v>
      </c>
      <c r="I67" s="6">
        <f t="shared" si="21"/>
        <v>37.393939393939391</v>
      </c>
      <c r="J67" s="6">
        <v>6.2530000000000001</v>
      </c>
      <c r="K67" s="5">
        <v>99</v>
      </c>
      <c r="L67" s="5">
        <v>1744</v>
      </c>
      <c r="M67" s="6">
        <f t="shared" si="22"/>
        <v>17.616161616161616</v>
      </c>
      <c r="N67" s="6">
        <v>4.0629999999999997</v>
      </c>
      <c r="O67" s="5">
        <v>99</v>
      </c>
      <c r="Q67" s="5">
        <v>2593</v>
      </c>
      <c r="R67" s="6">
        <f t="shared" si="23"/>
        <v>26.19191919191919</v>
      </c>
      <c r="S67" s="6">
        <v>4.7839999999999998</v>
      </c>
      <c r="T67" s="5">
        <v>99</v>
      </c>
      <c r="U67" s="5">
        <v>765</v>
      </c>
      <c r="V67" s="6">
        <f t="shared" si="24"/>
        <v>7.7272727272727275</v>
      </c>
      <c r="W67" s="6">
        <v>2.766</v>
      </c>
      <c r="X67" s="5">
        <v>99</v>
      </c>
      <c r="Z67" s="6">
        <f t="shared" si="25"/>
        <v>2.1227064220183487</v>
      </c>
      <c r="AA67" s="6">
        <f t="shared" si="26"/>
        <v>3.3895424836601302</v>
      </c>
      <c r="AB67" s="11">
        <f t="shared" si="27"/>
        <v>0.59680229376101213</v>
      </c>
      <c r="AC67" t="s">
        <v>40</v>
      </c>
      <c r="AE67" t="s">
        <v>422</v>
      </c>
      <c r="AF67" s="4">
        <v>0.38472222222222219</v>
      </c>
      <c r="AG67" s="4">
        <v>0.4375</v>
      </c>
      <c r="AH67" s="4">
        <f t="shared" si="28"/>
        <v>5.2777777777777812E-2</v>
      </c>
      <c r="AI67" s="4">
        <f t="shared" si="20"/>
        <v>0.38472222222222219</v>
      </c>
      <c r="AJ67" s="4">
        <v>0.52083333333333337</v>
      </c>
      <c r="AK67" s="4">
        <f t="shared" si="29"/>
        <v>0.13611111111111118</v>
      </c>
      <c r="AM67" t="b">
        <v>1</v>
      </c>
    </row>
    <row r="68" spans="1:39" x14ac:dyDescent="0.3">
      <c r="A68" s="3" t="s">
        <v>187</v>
      </c>
      <c r="B68" t="s">
        <v>188</v>
      </c>
      <c r="C68" t="s">
        <v>29</v>
      </c>
      <c r="D68">
        <v>40</v>
      </c>
      <c r="E68" s="1">
        <v>29459</v>
      </c>
      <c r="F68" s="2">
        <v>44118.442407407405</v>
      </c>
      <c r="G68" t="s">
        <v>30</v>
      </c>
      <c r="H68" s="5">
        <v>1841</v>
      </c>
      <c r="I68" s="6">
        <f t="shared" si="21"/>
        <v>18.595959595959595</v>
      </c>
      <c r="J68" s="6">
        <v>1.5449999999999999</v>
      </c>
      <c r="K68" s="5">
        <v>99</v>
      </c>
      <c r="L68" s="5">
        <v>1040</v>
      </c>
      <c r="M68" s="6">
        <f t="shared" si="22"/>
        <v>10.505050505050505</v>
      </c>
      <c r="N68" s="6">
        <v>1.343</v>
      </c>
      <c r="O68" s="5">
        <v>99</v>
      </c>
      <c r="Q68" s="5">
        <v>1217</v>
      </c>
      <c r="R68" s="6">
        <f t="shared" si="23"/>
        <v>12.17</v>
      </c>
      <c r="S68" s="6">
        <v>1.24</v>
      </c>
      <c r="T68" s="5">
        <v>100</v>
      </c>
      <c r="U68" s="5">
        <v>307</v>
      </c>
      <c r="V68" s="6">
        <f t="shared" si="24"/>
        <v>3.07</v>
      </c>
      <c r="W68" s="7">
        <v>0.60699999999999998</v>
      </c>
      <c r="X68" s="5">
        <v>100</v>
      </c>
      <c r="Z68" s="6">
        <f t="shared" si="25"/>
        <v>1.7701923076923076</v>
      </c>
      <c r="AA68" s="6">
        <f t="shared" si="26"/>
        <v>3.9641693811074918</v>
      </c>
      <c r="AB68" s="11">
        <f t="shared" si="27"/>
        <v>1.2394004108374752</v>
      </c>
      <c r="AC68" t="s">
        <v>39</v>
      </c>
      <c r="AE68" t="s">
        <v>420</v>
      </c>
      <c r="AF68" s="4">
        <v>0.4069444444444445</v>
      </c>
      <c r="AG68" s="4">
        <v>0.44861111111111113</v>
      </c>
      <c r="AH68" s="4">
        <f t="shared" si="28"/>
        <v>4.166666666666663E-2</v>
      </c>
      <c r="AI68" s="4">
        <f t="shared" si="20"/>
        <v>0.4069444444444445</v>
      </c>
      <c r="AJ68" s="4">
        <v>0.53472222222222221</v>
      </c>
      <c r="AK68" s="4">
        <f t="shared" si="29"/>
        <v>0.12777777777777771</v>
      </c>
      <c r="AM68" t="b">
        <v>1</v>
      </c>
    </row>
    <row r="69" spans="1:39" x14ac:dyDescent="0.3">
      <c r="A69" s="3" t="s">
        <v>185</v>
      </c>
      <c r="B69" t="s">
        <v>186</v>
      </c>
      <c r="C69" t="s">
        <v>52</v>
      </c>
      <c r="D69">
        <v>51</v>
      </c>
      <c r="E69" s="1">
        <v>25440</v>
      </c>
      <c r="F69" s="2">
        <v>44118.444791666669</v>
      </c>
      <c r="G69" t="s">
        <v>30</v>
      </c>
      <c r="H69" s="5">
        <v>1882</v>
      </c>
      <c r="I69" s="6">
        <f t="shared" si="21"/>
        <v>19.01010101010101</v>
      </c>
      <c r="J69" s="6">
        <v>5.16</v>
      </c>
      <c r="K69" s="5">
        <v>99</v>
      </c>
      <c r="L69" s="5">
        <v>1051</v>
      </c>
      <c r="M69" s="6">
        <f t="shared" si="22"/>
        <v>10.616161616161616</v>
      </c>
      <c r="N69" s="6">
        <v>3.0230000000000001</v>
      </c>
      <c r="O69" s="5">
        <v>99</v>
      </c>
      <c r="Q69" s="5">
        <v>1229</v>
      </c>
      <c r="R69" s="6">
        <f t="shared" si="23"/>
        <v>12.414141414141413</v>
      </c>
      <c r="S69" s="6">
        <v>3.6779999999999999</v>
      </c>
      <c r="T69" s="5">
        <v>99</v>
      </c>
      <c r="U69" s="5">
        <v>403</v>
      </c>
      <c r="V69" s="6">
        <f t="shared" si="24"/>
        <v>4.0707070707070709</v>
      </c>
      <c r="W69" s="7">
        <v>2.4380000000000002</v>
      </c>
      <c r="X69" s="5">
        <v>99</v>
      </c>
      <c r="Z69" s="6">
        <f t="shared" si="25"/>
        <v>1.790675547098002</v>
      </c>
      <c r="AA69" s="6">
        <f t="shared" si="26"/>
        <v>3.049627791563275</v>
      </c>
      <c r="AB69" s="11">
        <f t="shared" si="27"/>
        <v>0.70305994098459179</v>
      </c>
      <c r="AC69" t="s">
        <v>31</v>
      </c>
      <c r="AE69" t="s">
        <v>420</v>
      </c>
      <c r="AF69" s="4">
        <v>0.3923611111111111</v>
      </c>
      <c r="AG69" s="4">
        <v>0.44444444444444442</v>
      </c>
      <c r="AH69" s="4">
        <f t="shared" si="28"/>
        <v>5.2083333333333315E-2</v>
      </c>
      <c r="AI69" s="4">
        <f t="shared" si="20"/>
        <v>0.3923611111111111</v>
      </c>
      <c r="AJ69" s="4">
        <v>0.53472222222222221</v>
      </c>
      <c r="AK69" s="4">
        <f t="shared" si="29"/>
        <v>0.1423611111111111</v>
      </c>
      <c r="AM69" t="b">
        <v>1</v>
      </c>
    </row>
    <row r="70" spans="1:39" x14ac:dyDescent="0.3">
      <c r="A70" s="3" t="s">
        <v>189</v>
      </c>
      <c r="B70" t="s">
        <v>190</v>
      </c>
      <c r="C70" t="s">
        <v>29</v>
      </c>
      <c r="D70">
        <v>45</v>
      </c>
      <c r="E70" s="1">
        <v>27511</v>
      </c>
      <c r="F70" s="2">
        <v>44118.446284722224</v>
      </c>
      <c r="G70" t="s">
        <v>30</v>
      </c>
      <c r="H70" s="5">
        <v>3209</v>
      </c>
      <c r="I70" s="6">
        <f t="shared" si="21"/>
        <v>32.414141414141412</v>
      </c>
      <c r="J70" s="6">
        <v>5.9710000000000001</v>
      </c>
      <c r="K70" s="5">
        <v>99</v>
      </c>
      <c r="L70" s="5">
        <v>1847</v>
      </c>
      <c r="M70" s="6">
        <f t="shared" si="22"/>
        <v>18.656565656565657</v>
      </c>
      <c r="N70" s="6">
        <v>4.8109999999999999</v>
      </c>
      <c r="O70" s="5">
        <v>99</v>
      </c>
      <c r="Q70" s="5">
        <v>2012</v>
      </c>
      <c r="R70" s="6">
        <f t="shared" si="23"/>
        <v>20.12</v>
      </c>
      <c r="S70" s="6">
        <v>5.01</v>
      </c>
      <c r="T70" s="5">
        <v>100</v>
      </c>
      <c r="U70" s="5">
        <v>595</v>
      </c>
      <c r="V70" s="6">
        <f t="shared" si="24"/>
        <v>5.95</v>
      </c>
      <c r="W70" s="7">
        <v>2.2130000000000001</v>
      </c>
      <c r="X70" s="5">
        <v>100</v>
      </c>
      <c r="Z70" s="6">
        <f t="shared" si="25"/>
        <v>1.7374120194910663</v>
      </c>
      <c r="AA70" s="6">
        <f t="shared" si="26"/>
        <v>3.3815126050420168</v>
      </c>
      <c r="AB70" s="11">
        <f t="shared" si="27"/>
        <v>0.94629285805939733</v>
      </c>
      <c r="AC70" t="s">
        <v>40</v>
      </c>
      <c r="AE70" t="s">
        <v>420</v>
      </c>
      <c r="AF70" s="4">
        <v>0.40972222222222227</v>
      </c>
      <c r="AG70" s="4">
        <v>0.4513888888888889</v>
      </c>
      <c r="AH70" s="4">
        <f t="shared" si="28"/>
        <v>4.166666666666663E-2</v>
      </c>
      <c r="AI70" s="4">
        <f t="shared" si="20"/>
        <v>0.40972222222222227</v>
      </c>
      <c r="AJ70" s="4">
        <v>0.53472222222222221</v>
      </c>
      <c r="AK70" s="4">
        <f t="shared" si="29"/>
        <v>0.12499999999999994</v>
      </c>
      <c r="AM70" t="b">
        <v>1</v>
      </c>
    </row>
    <row r="71" spans="1:39" x14ac:dyDescent="0.3">
      <c r="A71" s="3" t="s">
        <v>193</v>
      </c>
      <c r="B71" t="s">
        <v>194</v>
      </c>
      <c r="C71" t="s">
        <v>29</v>
      </c>
      <c r="D71">
        <v>41</v>
      </c>
      <c r="E71" s="1">
        <v>28787</v>
      </c>
      <c r="F71" s="2">
        <v>44119.452592592592</v>
      </c>
      <c r="G71" t="s">
        <v>30</v>
      </c>
      <c r="H71">
        <v>1562</v>
      </c>
      <c r="I71" s="6">
        <f t="shared" si="21"/>
        <v>15.62</v>
      </c>
      <c r="J71">
        <v>1.3540000000000001</v>
      </c>
      <c r="K71">
        <v>100</v>
      </c>
      <c r="L71">
        <v>567</v>
      </c>
      <c r="M71" s="6">
        <f t="shared" si="22"/>
        <v>5.67</v>
      </c>
      <c r="N71" s="6">
        <v>0.73899999999999999</v>
      </c>
      <c r="O71">
        <v>100</v>
      </c>
      <c r="P71"/>
      <c r="Q71">
        <v>1089</v>
      </c>
      <c r="R71" s="6">
        <f t="shared" si="23"/>
        <v>10.89</v>
      </c>
      <c r="S71" s="6">
        <v>1.1359999999999999</v>
      </c>
      <c r="T71">
        <v>100</v>
      </c>
      <c r="U71">
        <v>242</v>
      </c>
      <c r="V71" s="6">
        <f t="shared" si="24"/>
        <v>2.42</v>
      </c>
      <c r="W71">
        <v>0.53500000000000003</v>
      </c>
      <c r="X71">
        <v>100</v>
      </c>
      <c r="Z71" s="6">
        <f t="shared" si="25"/>
        <v>2.7548500881834213</v>
      </c>
      <c r="AA71" s="6">
        <f t="shared" si="26"/>
        <v>4.5</v>
      </c>
      <c r="AB71" s="12">
        <f t="shared" si="27"/>
        <v>0.63348271446863014</v>
      </c>
      <c r="AC71" t="s">
        <v>39</v>
      </c>
      <c r="AE71" s="14" t="s">
        <v>420</v>
      </c>
      <c r="AF71" s="4">
        <v>0.37986111111111115</v>
      </c>
      <c r="AG71" s="4">
        <v>0.44444444444444442</v>
      </c>
      <c r="AH71" s="4">
        <f t="shared" si="28"/>
        <v>6.458333333333327E-2</v>
      </c>
      <c r="AI71" s="4">
        <f t="shared" si="20"/>
        <v>0.37986111111111115</v>
      </c>
      <c r="AJ71" s="4">
        <v>0.52083333333333337</v>
      </c>
      <c r="AK71" s="4">
        <f t="shared" si="29"/>
        <v>0.14097222222222222</v>
      </c>
      <c r="AM71" t="b">
        <v>1</v>
      </c>
    </row>
    <row r="72" spans="1:39" x14ac:dyDescent="0.3">
      <c r="A72" s="3" t="s">
        <v>191</v>
      </c>
      <c r="B72" t="s">
        <v>192</v>
      </c>
      <c r="C72" t="s">
        <v>29</v>
      </c>
      <c r="D72">
        <v>41</v>
      </c>
      <c r="E72" s="1">
        <v>28918</v>
      </c>
      <c r="F72" s="2">
        <v>44120.397581018522</v>
      </c>
      <c r="G72" t="s">
        <v>30</v>
      </c>
      <c r="H72" s="5">
        <v>2791</v>
      </c>
      <c r="I72" s="6">
        <f t="shared" si="21"/>
        <v>28.19191919191919</v>
      </c>
      <c r="J72" s="6">
        <v>5.12</v>
      </c>
      <c r="K72" s="5">
        <v>99</v>
      </c>
      <c r="L72" s="5">
        <v>1457</v>
      </c>
      <c r="M72" s="6">
        <f t="shared" si="22"/>
        <v>14.717171717171718</v>
      </c>
      <c r="N72" s="6">
        <v>3.9329999999999998</v>
      </c>
      <c r="O72" s="5">
        <v>99</v>
      </c>
      <c r="Q72" s="5">
        <v>1638</v>
      </c>
      <c r="R72" s="6">
        <f t="shared" si="23"/>
        <v>16.38</v>
      </c>
      <c r="S72" s="6">
        <v>3.9540000000000002</v>
      </c>
      <c r="T72" s="5">
        <v>100</v>
      </c>
      <c r="U72" s="5">
        <v>419</v>
      </c>
      <c r="V72" s="6">
        <f t="shared" si="24"/>
        <v>4.1900000000000004</v>
      </c>
      <c r="W72" s="6">
        <v>2.121</v>
      </c>
      <c r="X72" s="5">
        <v>100</v>
      </c>
      <c r="Z72" s="6">
        <f t="shared" si="25"/>
        <v>1.9155799588194919</v>
      </c>
      <c r="AA72" s="6">
        <f t="shared" si="26"/>
        <v>3.9093078758949873</v>
      </c>
      <c r="AB72" s="11">
        <f t="shared" si="27"/>
        <v>1.0407959782081679</v>
      </c>
      <c r="AC72" t="s">
        <v>40</v>
      </c>
      <c r="AE72" t="s">
        <v>421</v>
      </c>
      <c r="AF72" s="4">
        <v>0.39374999999999999</v>
      </c>
      <c r="AG72" s="4">
        <v>0.4236111111111111</v>
      </c>
      <c r="AH72" s="4">
        <f t="shared" si="28"/>
        <v>2.9861111111111116E-2</v>
      </c>
      <c r="AI72" s="4">
        <f t="shared" si="20"/>
        <v>0.39374999999999999</v>
      </c>
      <c r="AJ72" s="4">
        <v>0.52083333333333337</v>
      </c>
      <c r="AK72" s="4">
        <f t="shared" si="29"/>
        <v>0.12708333333333338</v>
      </c>
      <c r="AM72" t="b">
        <v>1</v>
      </c>
    </row>
    <row r="73" spans="1:39" x14ac:dyDescent="0.3">
      <c r="A73" s="3" t="s">
        <v>195</v>
      </c>
      <c r="B73" t="s">
        <v>196</v>
      </c>
      <c r="C73" t="s">
        <v>29</v>
      </c>
      <c r="D73">
        <v>49</v>
      </c>
      <c r="E73" s="1">
        <v>25939</v>
      </c>
      <c r="F73" s="2">
        <v>44123.420520833337</v>
      </c>
      <c r="G73" t="s">
        <v>30</v>
      </c>
      <c r="H73" s="5">
        <v>3140</v>
      </c>
      <c r="I73" s="6">
        <f t="shared" si="21"/>
        <v>31.717171717171716</v>
      </c>
      <c r="J73" s="6">
        <v>2.3340000000000001</v>
      </c>
      <c r="K73" s="5">
        <v>99</v>
      </c>
      <c r="L73" s="5">
        <v>1890</v>
      </c>
      <c r="M73" s="6">
        <f t="shared" si="22"/>
        <v>19.09090909090909</v>
      </c>
      <c r="N73" s="6">
        <v>1.5780000000000001</v>
      </c>
      <c r="O73" s="5">
        <v>99</v>
      </c>
      <c r="Q73" s="5">
        <v>2361</v>
      </c>
      <c r="R73" s="6">
        <f t="shared" si="23"/>
        <v>23.848484848484848</v>
      </c>
      <c r="S73" s="6">
        <v>3.1669999999999998</v>
      </c>
      <c r="T73" s="5">
        <v>99</v>
      </c>
      <c r="U73" s="5">
        <v>742</v>
      </c>
      <c r="V73" s="6">
        <f t="shared" si="24"/>
        <v>7.4949494949494948</v>
      </c>
      <c r="W73" s="6">
        <v>1.091</v>
      </c>
      <c r="X73" s="5">
        <v>99</v>
      </c>
      <c r="Z73" s="6">
        <f t="shared" si="25"/>
        <v>1.6613756613756614</v>
      </c>
      <c r="AA73" s="6">
        <f t="shared" si="26"/>
        <v>3.1819407008086253</v>
      </c>
      <c r="AB73" s="11">
        <f t="shared" si="27"/>
        <v>0.91524456195168846</v>
      </c>
      <c r="AC73" t="s">
        <v>53</v>
      </c>
      <c r="AE73" t="s">
        <v>421</v>
      </c>
      <c r="AF73" s="4">
        <v>0.38680555555555557</v>
      </c>
      <c r="AG73" s="4">
        <v>0.43055555555555558</v>
      </c>
      <c r="AH73" s="4">
        <f t="shared" si="28"/>
        <v>4.3750000000000011E-2</v>
      </c>
      <c r="AI73" s="4">
        <f t="shared" si="20"/>
        <v>0.38680555555555557</v>
      </c>
      <c r="AJ73" s="4">
        <v>0.52083333333333337</v>
      </c>
      <c r="AK73" s="4">
        <f t="shared" si="29"/>
        <v>0.1340277777777778</v>
      </c>
      <c r="AM73" t="b">
        <v>1</v>
      </c>
    </row>
    <row r="74" spans="1:39" x14ac:dyDescent="0.3">
      <c r="A74" s="3" t="s">
        <v>199</v>
      </c>
      <c r="B74" t="s">
        <v>200</v>
      </c>
      <c r="C74" t="s">
        <v>52</v>
      </c>
      <c r="D74">
        <v>69</v>
      </c>
      <c r="E74" s="1">
        <v>18647</v>
      </c>
      <c r="F74" s="2">
        <v>44123.421597222223</v>
      </c>
      <c r="G74" t="s">
        <v>30</v>
      </c>
      <c r="H74" s="5">
        <v>2886</v>
      </c>
      <c r="I74" s="6">
        <f t="shared" si="21"/>
        <v>29.151515151515152</v>
      </c>
      <c r="J74" s="6">
        <v>5.0049999999999999</v>
      </c>
      <c r="K74" s="5">
        <v>99</v>
      </c>
      <c r="L74" s="5">
        <v>1900</v>
      </c>
      <c r="M74" s="6">
        <f t="shared" si="22"/>
        <v>19.19191919191919</v>
      </c>
      <c r="N74" s="6">
        <v>4.6369999999999996</v>
      </c>
      <c r="O74" s="5">
        <v>99</v>
      </c>
      <c r="Q74" s="5">
        <v>1890</v>
      </c>
      <c r="R74" s="6">
        <f t="shared" si="23"/>
        <v>19.09090909090909</v>
      </c>
      <c r="S74" s="6">
        <v>4.415</v>
      </c>
      <c r="T74" s="5">
        <v>99</v>
      </c>
      <c r="U74" s="5">
        <v>870</v>
      </c>
      <c r="V74" s="6">
        <f t="shared" si="24"/>
        <v>8.7878787878787872</v>
      </c>
      <c r="W74" s="7">
        <v>3.052</v>
      </c>
      <c r="X74" s="5">
        <v>99</v>
      </c>
      <c r="Z74" s="6">
        <f t="shared" si="25"/>
        <v>1.5189473684210528</v>
      </c>
      <c r="AA74" s="6">
        <f t="shared" si="26"/>
        <v>2.1724137931034484</v>
      </c>
      <c r="AB74" s="11">
        <f t="shared" si="27"/>
        <v>0.43021005089970599</v>
      </c>
      <c r="AC74" t="s">
        <v>31</v>
      </c>
      <c r="AE74" t="s">
        <v>420</v>
      </c>
      <c r="AF74" s="4">
        <v>0.37916666666666665</v>
      </c>
      <c r="AG74" s="4">
        <v>0.4236111111111111</v>
      </c>
      <c r="AH74" s="4">
        <f t="shared" si="28"/>
        <v>4.4444444444444453E-2</v>
      </c>
      <c r="AI74" s="4">
        <f t="shared" si="20"/>
        <v>0.37916666666666665</v>
      </c>
      <c r="AJ74" s="4">
        <v>0.52083333333333337</v>
      </c>
      <c r="AK74" s="4">
        <f t="shared" si="29"/>
        <v>0.14166666666666672</v>
      </c>
      <c r="AM74" t="b">
        <v>1</v>
      </c>
    </row>
    <row r="75" spans="1:39" x14ac:dyDescent="0.3">
      <c r="A75" s="3" t="s">
        <v>197</v>
      </c>
      <c r="B75" t="s">
        <v>198</v>
      </c>
      <c r="C75" t="s">
        <v>52</v>
      </c>
      <c r="D75">
        <v>69</v>
      </c>
      <c r="E75" s="1">
        <v>18907</v>
      </c>
      <c r="F75" s="2">
        <v>44124.420949074076</v>
      </c>
      <c r="G75" t="s">
        <v>30</v>
      </c>
      <c r="H75" s="5">
        <v>2855</v>
      </c>
      <c r="I75" s="6">
        <f t="shared" si="21"/>
        <v>28.55</v>
      </c>
      <c r="J75" s="6">
        <v>6.9939999999999998</v>
      </c>
      <c r="K75" s="5">
        <v>100</v>
      </c>
      <c r="L75" s="5">
        <v>1384</v>
      </c>
      <c r="M75" s="6">
        <f t="shared" si="22"/>
        <v>13.84</v>
      </c>
      <c r="N75" s="6">
        <v>3.4889999999999999</v>
      </c>
      <c r="O75" s="5">
        <v>100</v>
      </c>
      <c r="Q75" s="5">
        <v>2131</v>
      </c>
      <c r="R75" s="6">
        <f t="shared" si="23"/>
        <v>21.31</v>
      </c>
      <c r="S75" s="6">
        <v>4.9580000000000002</v>
      </c>
      <c r="T75" s="5">
        <v>100</v>
      </c>
      <c r="U75" s="5">
        <v>461</v>
      </c>
      <c r="V75" s="6">
        <f t="shared" si="24"/>
        <v>4.6100000000000003</v>
      </c>
      <c r="W75" s="7">
        <v>2.1779999999999999</v>
      </c>
      <c r="X75" s="5">
        <v>100</v>
      </c>
      <c r="Z75" s="6">
        <f t="shared" si="25"/>
        <v>2.0628612716763008</v>
      </c>
      <c r="AA75" s="6">
        <f t="shared" si="26"/>
        <v>4.6225596529284161</v>
      </c>
      <c r="AB75" s="11">
        <f t="shared" si="27"/>
        <v>1.2408485322777327</v>
      </c>
      <c r="AC75" t="s">
        <v>31</v>
      </c>
      <c r="AE75" t="s">
        <v>421</v>
      </c>
      <c r="AF75" s="4">
        <v>0.3743055555555555</v>
      </c>
      <c r="AG75" s="4">
        <v>0.4236111111111111</v>
      </c>
      <c r="AH75" s="4">
        <f t="shared" si="28"/>
        <v>4.9305555555555602E-2</v>
      </c>
      <c r="AI75" s="4">
        <f t="shared" si="20"/>
        <v>0.3743055555555555</v>
      </c>
      <c r="AJ75" s="4">
        <v>0.52083333333333337</v>
      </c>
      <c r="AK75" s="4">
        <f t="shared" si="29"/>
        <v>0.14652777777777787</v>
      </c>
      <c r="AM75" t="b">
        <v>1</v>
      </c>
    </row>
    <row r="76" spans="1:39" x14ac:dyDescent="0.3">
      <c r="A76" s="3" t="s">
        <v>201</v>
      </c>
      <c r="B76" t="s">
        <v>202</v>
      </c>
      <c r="C76" t="s">
        <v>52</v>
      </c>
      <c r="D76">
        <v>63</v>
      </c>
      <c r="E76" s="1">
        <v>20988</v>
      </c>
      <c r="F76" s="2">
        <v>44124.422847222224</v>
      </c>
      <c r="G76" t="s">
        <v>30</v>
      </c>
      <c r="H76" s="5">
        <v>2904</v>
      </c>
      <c r="I76" s="6">
        <f t="shared" si="21"/>
        <v>29.04</v>
      </c>
      <c r="J76" s="6">
        <v>5.5810000000000004</v>
      </c>
      <c r="K76" s="5">
        <v>100</v>
      </c>
      <c r="L76" s="5">
        <v>1406</v>
      </c>
      <c r="M76" s="6">
        <f t="shared" si="22"/>
        <v>14.06</v>
      </c>
      <c r="N76" s="6">
        <v>3.7949999999999999</v>
      </c>
      <c r="O76" s="5">
        <v>100</v>
      </c>
      <c r="Q76" s="5">
        <v>1859</v>
      </c>
      <c r="R76" s="6">
        <f t="shared" si="23"/>
        <v>18.777777777777779</v>
      </c>
      <c r="S76" s="6">
        <v>4.6589999999999998</v>
      </c>
      <c r="T76" s="5">
        <v>99</v>
      </c>
      <c r="U76" s="5">
        <v>603</v>
      </c>
      <c r="V76" s="6">
        <f t="shared" si="24"/>
        <v>6.0909090909090908</v>
      </c>
      <c r="W76" s="6">
        <v>2.8540000000000001</v>
      </c>
      <c r="X76" s="5">
        <v>99</v>
      </c>
      <c r="Z76" s="6">
        <f t="shared" si="25"/>
        <v>2.0654338549075391</v>
      </c>
      <c r="AA76" s="6">
        <f t="shared" si="26"/>
        <v>3.0829187396351578</v>
      </c>
      <c r="AB76" s="11">
        <f t="shared" si="27"/>
        <v>0.49262525755063086</v>
      </c>
      <c r="AC76" t="s">
        <v>40</v>
      </c>
      <c r="AE76" t="s">
        <v>421</v>
      </c>
      <c r="AF76" s="4">
        <v>0.38541666666666669</v>
      </c>
      <c r="AG76" s="4">
        <v>0.44444444444444442</v>
      </c>
      <c r="AH76" s="4">
        <f t="shared" si="28"/>
        <v>5.9027777777777735E-2</v>
      </c>
      <c r="AI76" s="4">
        <f t="shared" si="20"/>
        <v>0.38541666666666669</v>
      </c>
      <c r="AJ76" s="4">
        <v>0.53472222222222221</v>
      </c>
      <c r="AK76" s="4">
        <f t="shared" si="29"/>
        <v>0.14930555555555552</v>
      </c>
      <c r="AM76" t="b">
        <v>1</v>
      </c>
    </row>
    <row r="77" spans="1:39" x14ac:dyDescent="0.3">
      <c r="A77" s="3" t="s">
        <v>203</v>
      </c>
      <c r="B77" t="s">
        <v>204</v>
      </c>
      <c r="C77" t="s">
        <v>29</v>
      </c>
      <c r="D77">
        <v>45</v>
      </c>
      <c r="E77" s="1">
        <v>27526</v>
      </c>
      <c r="F77" s="2">
        <v>44125.393819444442</v>
      </c>
      <c r="G77" t="s">
        <v>30</v>
      </c>
      <c r="H77" s="5">
        <v>2807</v>
      </c>
      <c r="I77" s="6">
        <f t="shared" si="21"/>
        <v>28.353535353535353</v>
      </c>
      <c r="J77" s="6">
        <v>5.2880000000000003</v>
      </c>
      <c r="K77" s="5">
        <v>99</v>
      </c>
      <c r="L77" s="5">
        <v>1178</v>
      </c>
      <c r="M77" s="6">
        <f t="shared" si="22"/>
        <v>11.8989898989899</v>
      </c>
      <c r="N77" s="6">
        <v>3.8079999999999998</v>
      </c>
      <c r="O77" s="5">
        <v>99</v>
      </c>
      <c r="Q77" s="5">
        <v>1949</v>
      </c>
      <c r="R77" s="6">
        <f t="shared" si="23"/>
        <v>19.489999999999998</v>
      </c>
      <c r="S77" s="6">
        <v>4.3010000000000002</v>
      </c>
      <c r="T77" s="5">
        <v>100</v>
      </c>
      <c r="U77" s="5">
        <v>511</v>
      </c>
      <c r="V77" s="6">
        <f t="shared" si="24"/>
        <v>5.1100000000000003</v>
      </c>
      <c r="W77" s="6">
        <v>2.4700000000000002</v>
      </c>
      <c r="X77" s="5">
        <v>100</v>
      </c>
      <c r="Z77" s="6">
        <f t="shared" si="25"/>
        <v>2.3828522920203734</v>
      </c>
      <c r="AA77" s="6">
        <f t="shared" si="26"/>
        <v>3.8140900195694711</v>
      </c>
      <c r="AB77" s="11">
        <f t="shared" si="27"/>
        <v>0.60064055684105355</v>
      </c>
      <c r="AC77" t="s">
        <v>40</v>
      </c>
      <c r="AE77" t="s">
        <v>421</v>
      </c>
      <c r="AF77" s="4">
        <v>0.3833333333333333</v>
      </c>
      <c r="AG77" s="4">
        <v>0.4375</v>
      </c>
      <c r="AH77" s="4">
        <f t="shared" si="28"/>
        <v>5.4166666666666696E-2</v>
      </c>
      <c r="AI77" s="4">
        <f t="shared" si="20"/>
        <v>0.3833333333333333</v>
      </c>
      <c r="AJ77" s="4">
        <v>0.52083333333333337</v>
      </c>
      <c r="AK77" s="4">
        <f t="shared" si="29"/>
        <v>0.13750000000000007</v>
      </c>
      <c r="AM77" t="b">
        <v>1</v>
      </c>
    </row>
    <row r="78" spans="1:39" x14ac:dyDescent="0.3">
      <c r="A78" s="3" t="s">
        <v>205</v>
      </c>
      <c r="B78" t="s">
        <v>206</v>
      </c>
      <c r="C78" t="s">
        <v>29</v>
      </c>
      <c r="D78">
        <v>64</v>
      </c>
      <c r="E78" s="1">
        <v>20516</v>
      </c>
      <c r="F78" s="2">
        <v>44127.437291666669</v>
      </c>
      <c r="G78" t="s">
        <v>30</v>
      </c>
      <c r="H78" s="5">
        <v>3237</v>
      </c>
      <c r="I78" s="6">
        <f t="shared" si="21"/>
        <v>32.369999999999997</v>
      </c>
      <c r="J78" s="6">
        <v>6.5789999999999997</v>
      </c>
      <c r="K78" s="5">
        <v>100</v>
      </c>
      <c r="L78" s="5">
        <v>1807</v>
      </c>
      <c r="M78" s="6">
        <f t="shared" si="22"/>
        <v>18.07</v>
      </c>
      <c r="N78" s="6">
        <v>4.4820000000000002</v>
      </c>
      <c r="O78" s="5">
        <v>100</v>
      </c>
      <c r="Q78" s="5">
        <v>2165</v>
      </c>
      <c r="R78" s="6">
        <f t="shared" si="23"/>
        <v>21.868686868686869</v>
      </c>
      <c r="S78" s="6">
        <v>5.0960000000000001</v>
      </c>
      <c r="T78" s="5">
        <v>99</v>
      </c>
      <c r="U78" s="5">
        <v>532</v>
      </c>
      <c r="V78" s="6">
        <f t="shared" si="24"/>
        <v>5.3737373737373737</v>
      </c>
      <c r="W78" s="6">
        <v>2.15</v>
      </c>
      <c r="X78" s="5">
        <v>99</v>
      </c>
      <c r="Z78" s="6">
        <f t="shared" si="25"/>
        <v>1.7913669064748199</v>
      </c>
      <c r="AA78" s="6">
        <f t="shared" si="26"/>
        <v>4.0695488721804507</v>
      </c>
      <c r="AB78" s="11">
        <f t="shared" si="27"/>
        <v>1.2717561977232239</v>
      </c>
      <c r="AC78" t="s">
        <v>31</v>
      </c>
      <c r="AE78" t="s">
        <v>421</v>
      </c>
      <c r="AF78" s="4">
        <v>0.39930555555555558</v>
      </c>
      <c r="AG78" s="4">
        <v>0.44444444444444442</v>
      </c>
      <c r="AH78" s="4">
        <f t="shared" si="28"/>
        <v>4.513888888888884E-2</v>
      </c>
      <c r="AI78" s="4">
        <f t="shared" si="20"/>
        <v>0.39930555555555558</v>
      </c>
      <c r="AJ78" s="4">
        <v>0.53472222222222221</v>
      </c>
      <c r="AK78" s="4">
        <f t="shared" si="29"/>
        <v>0.13541666666666663</v>
      </c>
      <c r="AM78" t="b">
        <v>1</v>
      </c>
    </row>
    <row r="79" spans="1:39" x14ac:dyDescent="0.3">
      <c r="A79" s="3" t="s">
        <v>207</v>
      </c>
      <c r="B79" t="s">
        <v>208</v>
      </c>
      <c r="C79" t="s">
        <v>29</v>
      </c>
      <c r="D79">
        <v>62</v>
      </c>
      <c r="E79" s="1">
        <v>21218</v>
      </c>
      <c r="F79" s="2">
        <v>44130.416655092595</v>
      </c>
      <c r="G79" t="s">
        <v>30</v>
      </c>
      <c r="H79" s="5">
        <v>2483</v>
      </c>
      <c r="I79" s="6">
        <f t="shared" si="21"/>
        <v>25.08080808080808</v>
      </c>
      <c r="J79" s="6">
        <v>2.2069999999999999</v>
      </c>
      <c r="K79" s="5">
        <v>99</v>
      </c>
      <c r="L79" s="5">
        <v>1001</v>
      </c>
      <c r="M79" s="6">
        <f t="shared" si="22"/>
        <v>10.111111111111111</v>
      </c>
      <c r="N79" s="6">
        <v>1.0389999999999999</v>
      </c>
      <c r="O79" s="5">
        <v>99</v>
      </c>
      <c r="Q79" s="5">
        <v>1671</v>
      </c>
      <c r="R79" s="6">
        <f t="shared" si="23"/>
        <v>16.71</v>
      </c>
      <c r="S79" s="6">
        <v>1.7370000000000001</v>
      </c>
      <c r="T79" s="5">
        <v>100</v>
      </c>
      <c r="U79" s="5">
        <v>278</v>
      </c>
      <c r="V79" s="6">
        <f t="shared" si="24"/>
        <v>2.78</v>
      </c>
      <c r="W79" s="6">
        <v>0.57899999999999996</v>
      </c>
      <c r="X79" s="5">
        <v>100</v>
      </c>
      <c r="Z79" s="6">
        <f t="shared" si="25"/>
        <v>2.4805194805194803</v>
      </c>
      <c r="AA79" s="6">
        <f t="shared" si="26"/>
        <v>6.0107913669064752</v>
      </c>
      <c r="AB79" s="11">
        <f t="shared" si="27"/>
        <v>1.4231986138837625</v>
      </c>
      <c r="AC79" t="s">
        <v>39</v>
      </c>
      <c r="AE79" t="s">
        <v>421</v>
      </c>
      <c r="AF79" s="4">
        <v>0.37916666666666665</v>
      </c>
      <c r="AG79" s="4">
        <v>0.4375</v>
      </c>
      <c r="AH79" s="4">
        <f t="shared" si="28"/>
        <v>5.8333333333333348E-2</v>
      </c>
      <c r="AI79" s="4">
        <f t="shared" si="20"/>
        <v>0.37916666666666665</v>
      </c>
      <c r="AJ79" s="4">
        <v>0.55555555555555558</v>
      </c>
      <c r="AK79" s="4">
        <f t="shared" si="29"/>
        <v>0.17638888888888893</v>
      </c>
      <c r="AM79" t="b">
        <v>1</v>
      </c>
    </row>
    <row r="80" spans="1:39" x14ac:dyDescent="0.3">
      <c r="A80" s="3" t="s">
        <v>209</v>
      </c>
      <c r="B80" t="s">
        <v>210</v>
      </c>
      <c r="C80" t="s">
        <v>29</v>
      </c>
      <c r="D80">
        <v>60</v>
      </c>
      <c r="E80" s="1">
        <v>22060</v>
      </c>
      <c r="F80" s="2">
        <v>44131.438310185185</v>
      </c>
      <c r="G80" t="s">
        <v>30</v>
      </c>
      <c r="H80" s="5">
        <v>3260</v>
      </c>
      <c r="I80" s="6">
        <f t="shared" si="21"/>
        <v>32.6</v>
      </c>
      <c r="J80" s="6">
        <v>1.764</v>
      </c>
      <c r="K80" s="5">
        <v>100</v>
      </c>
      <c r="L80" s="5">
        <v>1610</v>
      </c>
      <c r="M80" s="6">
        <f t="shared" si="22"/>
        <v>16.100000000000001</v>
      </c>
      <c r="N80" s="6">
        <v>1.2190000000000001</v>
      </c>
      <c r="O80" s="5">
        <v>100</v>
      </c>
      <c r="Q80" s="5">
        <v>2567</v>
      </c>
      <c r="R80" s="6">
        <f t="shared" si="23"/>
        <v>25.929292929292931</v>
      </c>
      <c r="S80" s="6">
        <v>2.3610000000000002</v>
      </c>
      <c r="T80" s="5">
        <v>99</v>
      </c>
      <c r="U80" s="5">
        <v>611</v>
      </c>
      <c r="V80" s="6">
        <f t="shared" si="24"/>
        <v>6.1717171717171722</v>
      </c>
      <c r="W80" s="6">
        <v>0.88100000000000001</v>
      </c>
      <c r="X80" s="5">
        <v>99</v>
      </c>
      <c r="Z80" s="6">
        <f t="shared" si="25"/>
        <v>2.0248447204968945</v>
      </c>
      <c r="AA80" s="6">
        <f t="shared" si="26"/>
        <v>4.201309328968903</v>
      </c>
      <c r="AB80" s="11">
        <f t="shared" si="27"/>
        <v>1.0748797606257465</v>
      </c>
      <c r="AC80" t="s">
        <v>39</v>
      </c>
      <c r="AE80" t="s">
        <v>421</v>
      </c>
      <c r="AF80" s="4">
        <v>0.40277777777777773</v>
      </c>
      <c r="AG80" s="4">
        <v>0.44444444444444442</v>
      </c>
      <c r="AH80" s="4">
        <f t="shared" si="28"/>
        <v>4.1666666666666685E-2</v>
      </c>
      <c r="AI80" s="4">
        <f t="shared" si="20"/>
        <v>0.40277777777777773</v>
      </c>
      <c r="AJ80" s="4">
        <v>0.52777777777777779</v>
      </c>
      <c r="AK80" s="4">
        <f t="shared" si="29"/>
        <v>0.12500000000000006</v>
      </c>
      <c r="AM80" t="b">
        <v>1</v>
      </c>
    </row>
    <row r="81" spans="1:39" x14ac:dyDescent="0.3">
      <c r="A81" s="3" t="s">
        <v>211</v>
      </c>
      <c r="B81" t="s">
        <v>212</v>
      </c>
      <c r="C81" t="s">
        <v>52</v>
      </c>
      <c r="D81">
        <v>66</v>
      </c>
      <c r="E81" s="1">
        <v>20008</v>
      </c>
      <c r="F81" s="2">
        <v>44131.440798611111</v>
      </c>
      <c r="G81" t="s">
        <v>30</v>
      </c>
      <c r="H81" s="5">
        <v>2753</v>
      </c>
      <c r="I81" s="6">
        <f t="shared" si="21"/>
        <v>27.53</v>
      </c>
      <c r="J81" s="6">
        <v>5.9109999999999996</v>
      </c>
      <c r="K81" s="5">
        <v>100</v>
      </c>
      <c r="L81" s="5">
        <v>1615</v>
      </c>
      <c r="M81" s="6">
        <f t="shared" si="22"/>
        <v>16.149999999999999</v>
      </c>
      <c r="N81" s="6">
        <v>4.0880000000000001</v>
      </c>
      <c r="O81" s="5">
        <v>100</v>
      </c>
      <c r="Q81" s="5">
        <v>1888</v>
      </c>
      <c r="R81" s="6">
        <f t="shared" si="23"/>
        <v>18.88</v>
      </c>
      <c r="S81" s="6">
        <v>4.6390000000000002</v>
      </c>
      <c r="T81" s="5">
        <v>100</v>
      </c>
      <c r="U81" s="5">
        <v>573</v>
      </c>
      <c r="V81" s="6">
        <f t="shared" si="24"/>
        <v>5.73</v>
      </c>
      <c r="W81" s="6">
        <v>2.4740000000000002</v>
      </c>
      <c r="X81" s="5">
        <v>100</v>
      </c>
      <c r="Z81" s="6">
        <f t="shared" si="25"/>
        <v>1.7046439628482974</v>
      </c>
      <c r="AA81" s="6">
        <f t="shared" si="26"/>
        <v>3.2949389179755668</v>
      </c>
      <c r="AB81" s="11">
        <f t="shared" si="27"/>
        <v>0.93291912551054834</v>
      </c>
      <c r="AC81" t="s">
        <v>31</v>
      </c>
      <c r="AE81" t="s">
        <v>421</v>
      </c>
      <c r="AF81" s="4">
        <v>0.37361111111111112</v>
      </c>
      <c r="AG81" s="4">
        <v>0.44444444444444442</v>
      </c>
      <c r="AH81" s="4">
        <f t="shared" si="28"/>
        <v>7.0833333333333304E-2</v>
      </c>
      <c r="AI81" s="4">
        <f t="shared" si="20"/>
        <v>0.37361111111111112</v>
      </c>
      <c r="AJ81" s="4">
        <v>0.5395833333333333</v>
      </c>
      <c r="AK81" s="4">
        <f t="shared" si="29"/>
        <v>0.16597222222222219</v>
      </c>
      <c r="AM81" t="b">
        <v>1</v>
      </c>
    </row>
    <row r="82" spans="1:39" x14ac:dyDescent="0.3">
      <c r="A82" s="3" t="s">
        <v>213</v>
      </c>
      <c r="B82" t="s">
        <v>214</v>
      </c>
      <c r="C82" t="s">
        <v>29</v>
      </c>
      <c r="D82">
        <v>67</v>
      </c>
      <c r="E82" s="1">
        <v>19482</v>
      </c>
      <c r="F82" s="2">
        <v>44132.439641203702</v>
      </c>
      <c r="G82" t="s">
        <v>30</v>
      </c>
      <c r="H82" s="5">
        <v>2727</v>
      </c>
      <c r="I82" s="6">
        <f t="shared" si="21"/>
        <v>27.545454545454547</v>
      </c>
      <c r="J82" s="6">
        <v>4.6890000000000001</v>
      </c>
      <c r="K82" s="5">
        <v>99</v>
      </c>
      <c r="L82" s="5">
        <v>1670</v>
      </c>
      <c r="M82" s="6">
        <f t="shared" si="22"/>
        <v>16.868686868686869</v>
      </c>
      <c r="N82" s="6">
        <v>4.875</v>
      </c>
      <c r="O82" s="5">
        <v>99</v>
      </c>
      <c r="Q82" s="5">
        <v>1574</v>
      </c>
      <c r="R82" s="6">
        <f t="shared" si="23"/>
        <v>15.8989898989899</v>
      </c>
      <c r="S82" s="6">
        <v>4.1710000000000003</v>
      </c>
      <c r="T82" s="5">
        <v>99</v>
      </c>
      <c r="U82" s="5">
        <v>658</v>
      </c>
      <c r="V82" s="6">
        <f t="shared" si="24"/>
        <v>6.6464646464646462</v>
      </c>
      <c r="W82" s="6">
        <v>3.0209999999999999</v>
      </c>
      <c r="X82" s="5">
        <v>99</v>
      </c>
      <c r="Z82" s="6">
        <f t="shared" si="25"/>
        <v>1.6329341317365271</v>
      </c>
      <c r="AA82" s="6">
        <f t="shared" si="26"/>
        <v>2.3920972644376901</v>
      </c>
      <c r="AB82" s="11">
        <f t="shared" si="27"/>
        <v>0.46490738232891166</v>
      </c>
      <c r="AC82" t="s">
        <v>31</v>
      </c>
      <c r="AE82" t="s">
        <v>422</v>
      </c>
      <c r="AF82" s="4">
        <v>0.39583333333333331</v>
      </c>
      <c r="AG82" s="4">
        <v>0.44444444444444442</v>
      </c>
      <c r="AH82" s="4">
        <f t="shared" si="28"/>
        <v>4.8611111111111105E-2</v>
      </c>
      <c r="AI82" s="4">
        <f t="shared" si="20"/>
        <v>0.39583333333333331</v>
      </c>
      <c r="AJ82" s="4">
        <v>0.53472222222222221</v>
      </c>
      <c r="AK82" s="4">
        <f t="shared" si="29"/>
        <v>0.1388888888888889</v>
      </c>
      <c r="AM82" t="b">
        <v>1</v>
      </c>
    </row>
    <row r="83" spans="1:39" x14ac:dyDescent="0.3">
      <c r="A83" s="3" t="s">
        <v>217</v>
      </c>
      <c r="B83" t="s">
        <v>218</v>
      </c>
      <c r="C83" t="s">
        <v>29</v>
      </c>
      <c r="D83">
        <v>37</v>
      </c>
      <c r="E83" s="1">
        <v>30490</v>
      </c>
      <c r="F83" s="2">
        <v>44133.43613425926</v>
      </c>
      <c r="G83" t="s">
        <v>30</v>
      </c>
      <c r="H83" s="5">
        <v>2263</v>
      </c>
      <c r="I83" s="6">
        <f t="shared" si="21"/>
        <v>22.63</v>
      </c>
      <c r="J83" s="6">
        <v>1.5609999999999999</v>
      </c>
      <c r="K83" s="5">
        <v>100</v>
      </c>
      <c r="L83" s="5">
        <v>985</v>
      </c>
      <c r="M83" s="6">
        <f t="shared" si="22"/>
        <v>9.85</v>
      </c>
      <c r="N83" s="6">
        <v>1.258</v>
      </c>
      <c r="O83" s="5">
        <v>100</v>
      </c>
      <c r="Q83" s="5">
        <v>1569</v>
      </c>
      <c r="R83" s="6">
        <f t="shared" si="23"/>
        <v>15.848484848484848</v>
      </c>
      <c r="S83" s="6">
        <v>1.248</v>
      </c>
      <c r="T83" s="5">
        <v>99</v>
      </c>
      <c r="U83" s="5">
        <v>365</v>
      </c>
      <c r="V83" s="6">
        <f t="shared" si="24"/>
        <v>3.6868686868686869</v>
      </c>
      <c r="W83" s="6">
        <v>0.6</v>
      </c>
      <c r="X83" s="5">
        <v>99</v>
      </c>
      <c r="Z83" s="6">
        <f t="shared" si="25"/>
        <v>2.2974619289340104</v>
      </c>
      <c r="AA83" s="6">
        <f t="shared" si="26"/>
        <v>4.2986301369863016</v>
      </c>
      <c r="AB83" s="11">
        <f t="shared" si="27"/>
        <v>0.87103432829496541</v>
      </c>
      <c r="AC83" t="s">
        <v>39</v>
      </c>
      <c r="AE83" t="s">
        <v>422</v>
      </c>
      <c r="AF83" s="4">
        <v>0.38958333333333334</v>
      </c>
      <c r="AG83" s="4">
        <v>0.4375</v>
      </c>
      <c r="AH83" s="4">
        <f t="shared" si="28"/>
        <v>4.7916666666666663E-2</v>
      </c>
      <c r="AI83" s="4">
        <f t="shared" si="20"/>
        <v>0.38958333333333334</v>
      </c>
      <c r="AJ83" s="4">
        <v>0.52083333333333337</v>
      </c>
      <c r="AK83" s="4">
        <f t="shared" si="29"/>
        <v>0.13125000000000003</v>
      </c>
      <c r="AM83" t="b">
        <v>1</v>
      </c>
    </row>
    <row r="84" spans="1:39" x14ac:dyDescent="0.3">
      <c r="A84" s="3" t="s">
        <v>215</v>
      </c>
      <c r="B84" t="s">
        <v>216</v>
      </c>
      <c r="C84" t="s">
        <v>29</v>
      </c>
      <c r="D84">
        <v>49</v>
      </c>
      <c r="E84" s="1">
        <v>25945</v>
      </c>
      <c r="F84" s="2">
        <v>44133.440740740742</v>
      </c>
      <c r="G84" t="s">
        <v>30</v>
      </c>
      <c r="H84" s="5">
        <v>2612</v>
      </c>
      <c r="I84" s="6">
        <f t="shared" si="21"/>
        <v>26.383838383838384</v>
      </c>
      <c r="J84" s="6">
        <v>5.94</v>
      </c>
      <c r="K84" s="5">
        <v>99</v>
      </c>
      <c r="L84" s="5">
        <v>1320</v>
      </c>
      <c r="M84" s="6">
        <f t="shared" si="22"/>
        <v>13.333333333333334</v>
      </c>
      <c r="N84" s="6">
        <v>3.4910000000000001</v>
      </c>
      <c r="O84" s="5">
        <v>99</v>
      </c>
      <c r="Q84" s="5">
        <v>1865</v>
      </c>
      <c r="R84" s="6">
        <f t="shared" si="23"/>
        <v>18.838383838383837</v>
      </c>
      <c r="S84" s="6">
        <v>4.2590000000000003</v>
      </c>
      <c r="T84" s="5">
        <v>99</v>
      </c>
      <c r="U84" s="5">
        <v>490</v>
      </c>
      <c r="V84" s="6">
        <f t="shared" si="24"/>
        <v>4.9494949494949498</v>
      </c>
      <c r="W84" s="6">
        <v>2.052</v>
      </c>
      <c r="X84" s="5">
        <v>99</v>
      </c>
      <c r="Z84" s="6">
        <f t="shared" si="25"/>
        <v>1.9787878787878788</v>
      </c>
      <c r="AA84" s="6">
        <f t="shared" si="26"/>
        <v>3.8061224489795915</v>
      </c>
      <c r="AB84" s="11">
        <f t="shared" si="27"/>
        <v>0.92346157452261135</v>
      </c>
      <c r="AC84" t="s">
        <v>31</v>
      </c>
      <c r="AE84" t="s">
        <v>421</v>
      </c>
      <c r="AF84" s="4">
        <v>0.38472222222222219</v>
      </c>
      <c r="AG84" s="4">
        <v>0.44444444444444442</v>
      </c>
      <c r="AH84" s="4">
        <f t="shared" si="28"/>
        <v>5.9722222222222232E-2</v>
      </c>
      <c r="AI84" s="4">
        <f t="shared" si="20"/>
        <v>0.38472222222222219</v>
      </c>
      <c r="AJ84" s="4">
        <v>0.52083333333333337</v>
      </c>
      <c r="AK84" s="4">
        <f t="shared" si="29"/>
        <v>0.13611111111111118</v>
      </c>
      <c r="AM84" t="b">
        <v>1</v>
      </c>
    </row>
    <row r="85" spans="1:39" x14ac:dyDescent="0.3">
      <c r="A85" s="3" t="s">
        <v>219</v>
      </c>
      <c r="B85" t="s">
        <v>480</v>
      </c>
      <c r="C85" t="s">
        <v>29</v>
      </c>
      <c r="D85">
        <v>48</v>
      </c>
      <c r="E85" s="1">
        <v>26277</v>
      </c>
      <c r="F85" s="2">
        <v>44138.407847222225</v>
      </c>
      <c r="G85" t="s">
        <v>30</v>
      </c>
      <c r="H85" s="5">
        <v>3038</v>
      </c>
      <c r="I85" s="6">
        <f t="shared" si="21"/>
        <v>30.38</v>
      </c>
      <c r="J85" s="6">
        <v>6.35</v>
      </c>
      <c r="K85" s="5">
        <v>100</v>
      </c>
      <c r="L85" s="5">
        <v>1006</v>
      </c>
      <c r="M85" s="6">
        <f t="shared" si="22"/>
        <v>10.06</v>
      </c>
      <c r="N85" s="6">
        <v>3.0680000000000001</v>
      </c>
      <c r="O85" s="5">
        <v>100</v>
      </c>
      <c r="P85"/>
      <c r="Q85" s="5">
        <v>1902</v>
      </c>
      <c r="R85" s="6">
        <f t="shared" si="23"/>
        <v>19.212121212121211</v>
      </c>
      <c r="S85" s="6">
        <v>5.2359999999999998</v>
      </c>
      <c r="T85" s="5">
        <v>99</v>
      </c>
      <c r="U85">
        <v>387</v>
      </c>
      <c r="V85" s="6">
        <f t="shared" si="24"/>
        <v>3.9090909090909092</v>
      </c>
      <c r="W85" s="6">
        <v>1.841</v>
      </c>
      <c r="X85" s="5">
        <v>99</v>
      </c>
      <c r="Z85" s="6">
        <f t="shared" si="25"/>
        <v>3.019880715705765</v>
      </c>
      <c r="AA85" s="6">
        <f t="shared" si="26"/>
        <v>4.9147286821705425</v>
      </c>
      <c r="AB85" s="11">
        <f t="shared" si="27"/>
        <v>0.62745788487938325</v>
      </c>
      <c r="AC85" t="s">
        <v>40</v>
      </c>
      <c r="AE85" t="s">
        <v>420</v>
      </c>
      <c r="AF85" s="4">
        <v>0.39305555555555555</v>
      </c>
      <c r="AG85" s="4">
        <v>0.44444444444444442</v>
      </c>
      <c r="AH85" s="4">
        <f t="shared" si="28"/>
        <v>5.1388888888888873E-2</v>
      </c>
      <c r="AI85" s="4">
        <f t="shared" si="20"/>
        <v>0.39305555555555555</v>
      </c>
      <c r="AJ85" s="4">
        <v>0.53472222222222221</v>
      </c>
      <c r="AK85" s="4">
        <f t="shared" si="29"/>
        <v>0.14166666666666666</v>
      </c>
      <c r="AM85" t="b">
        <v>1</v>
      </c>
    </row>
    <row r="86" spans="1:39" x14ac:dyDescent="0.3">
      <c r="A86" s="3" t="s">
        <v>220</v>
      </c>
      <c r="B86" t="s">
        <v>221</v>
      </c>
      <c r="C86" t="s">
        <v>29</v>
      </c>
      <c r="D86">
        <v>30</v>
      </c>
      <c r="E86" s="1">
        <v>32867</v>
      </c>
      <c r="F86" s="2">
        <v>44139.412037037036</v>
      </c>
      <c r="G86" t="s">
        <v>30</v>
      </c>
      <c r="H86" s="5">
        <v>2621</v>
      </c>
      <c r="I86" s="6">
        <f t="shared" si="21"/>
        <v>26.474747474747474</v>
      </c>
      <c r="J86" s="6">
        <v>5.0209999999999999</v>
      </c>
      <c r="K86" s="5">
        <v>99</v>
      </c>
      <c r="L86" s="5">
        <v>2004</v>
      </c>
      <c r="M86" s="6">
        <f t="shared" si="22"/>
        <v>20.242424242424242</v>
      </c>
      <c r="N86" s="6">
        <v>4.7320000000000002</v>
      </c>
      <c r="O86" s="5">
        <v>99</v>
      </c>
      <c r="P86"/>
      <c r="Q86" s="5">
        <v>1505</v>
      </c>
      <c r="R86" s="6">
        <f t="shared" si="23"/>
        <v>15.202020202020202</v>
      </c>
      <c r="S86" s="6">
        <v>3.617</v>
      </c>
      <c r="T86" s="5">
        <v>99</v>
      </c>
      <c r="U86">
        <v>609</v>
      </c>
      <c r="V86" s="6">
        <f t="shared" si="24"/>
        <v>6.1515151515151514</v>
      </c>
      <c r="W86" s="6">
        <v>2.4049999999999998</v>
      </c>
      <c r="X86" s="5">
        <v>99</v>
      </c>
      <c r="Z86" s="6">
        <f t="shared" si="25"/>
        <v>1.3078842315369261</v>
      </c>
      <c r="AA86" s="6">
        <f t="shared" si="26"/>
        <v>2.4712643678160919</v>
      </c>
      <c r="AB86" s="11">
        <f t="shared" si="27"/>
        <v>0.88951308397689755</v>
      </c>
      <c r="AC86" t="s">
        <v>40</v>
      </c>
      <c r="AE86" t="s">
        <v>420</v>
      </c>
      <c r="AF86" s="4">
        <v>0.39444444444444443</v>
      </c>
      <c r="AG86" s="4">
        <v>0.4375</v>
      </c>
      <c r="AH86" s="4">
        <f t="shared" si="28"/>
        <v>4.3055555555555569E-2</v>
      </c>
      <c r="AI86" s="4">
        <f t="shared" si="20"/>
        <v>0.39444444444444443</v>
      </c>
      <c r="AJ86" s="4">
        <v>0.52083333333333337</v>
      </c>
      <c r="AK86" s="4">
        <f t="shared" si="29"/>
        <v>0.12638888888888894</v>
      </c>
      <c r="AM86" t="b">
        <v>1</v>
      </c>
    </row>
    <row r="87" spans="1:39" x14ac:dyDescent="0.3">
      <c r="A87" s="3" t="s">
        <v>222</v>
      </c>
      <c r="B87" t="s">
        <v>223</v>
      </c>
      <c r="C87" t="s">
        <v>29</v>
      </c>
      <c r="D87">
        <v>53</v>
      </c>
      <c r="E87" s="1">
        <v>24530</v>
      </c>
      <c r="F87" s="2">
        <v>44139.438483796293</v>
      </c>
      <c r="G87" t="s">
        <v>30</v>
      </c>
      <c r="H87" s="5">
        <v>2220</v>
      </c>
      <c r="I87" s="6">
        <f t="shared" si="21"/>
        <v>22.2</v>
      </c>
      <c r="J87" s="6">
        <v>4.8140000000000001</v>
      </c>
      <c r="K87" s="5">
        <v>100</v>
      </c>
      <c r="L87" s="5">
        <v>1279</v>
      </c>
      <c r="M87" s="6">
        <f t="shared" si="22"/>
        <v>12.79</v>
      </c>
      <c r="N87" s="6">
        <v>3.5739999999999998</v>
      </c>
      <c r="O87" s="5">
        <v>100</v>
      </c>
      <c r="P87"/>
      <c r="Q87" s="5">
        <v>1349</v>
      </c>
      <c r="R87" s="6">
        <f t="shared" si="23"/>
        <v>13.626262626262626</v>
      </c>
      <c r="S87" s="6">
        <v>3.8879999999999999</v>
      </c>
      <c r="T87" s="5">
        <v>99</v>
      </c>
      <c r="U87">
        <v>317</v>
      </c>
      <c r="V87" s="6">
        <f t="shared" si="24"/>
        <v>3.202020202020202</v>
      </c>
      <c r="W87" s="6">
        <v>1.873</v>
      </c>
      <c r="X87" s="5">
        <v>99</v>
      </c>
      <c r="Z87" s="6">
        <f t="shared" si="25"/>
        <v>1.7357310398749024</v>
      </c>
      <c r="AA87" s="6">
        <f t="shared" si="26"/>
        <v>4.2555205047318614</v>
      </c>
      <c r="AB87" s="11">
        <f t="shared" si="27"/>
        <v>1.451716543041464</v>
      </c>
      <c r="AC87" t="s">
        <v>31</v>
      </c>
      <c r="AE87" t="s">
        <v>420</v>
      </c>
      <c r="AF87" s="4">
        <v>0.40069444444444446</v>
      </c>
      <c r="AG87" s="4">
        <v>0.44444444444444442</v>
      </c>
      <c r="AH87" s="4">
        <f t="shared" si="28"/>
        <v>4.3749999999999956E-2</v>
      </c>
      <c r="AI87" s="4">
        <f t="shared" si="20"/>
        <v>0.40069444444444446</v>
      </c>
      <c r="AJ87" s="4">
        <v>0.53472222222222221</v>
      </c>
      <c r="AK87" s="4">
        <f t="shared" si="29"/>
        <v>0.13402777777777775</v>
      </c>
      <c r="AM87" t="b">
        <v>1</v>
      </c>
    </row>
    <row r="88" spans="1:39" x14ac:dyDescent="0.3">
      <c r="A88" s="3" t="s">
        <v>226</v>
      </c>
      <c r="B88" t="s">
        <v>227</v>
      </c>
      <c r="C88" t="s">
        <v>29</v>
      </c>
      <c r="D88">
        <v>61</v>
      </c>
      <c r="E88" s="1">
        <v>21552</v>
      </c>
      <c r="F88" s="2">
        <v>44140.411805555559</v>
      </c>
      <c r="G88" t="s">
        <v>30</v>
      </c>
      <c r="H88" s="5">
        <v>4466</v>
      </c>
      <c r="I88" s="6">
        <f t="shared" si="21"/>
        <v>45.111111111111114</v>
      </c>
      <c r="J88" s="6">
        <v>6.8390000000000004</v>
      </c>
      <c r="K88" s="5">
        <v>99</v>
      </c>
      <c r="L88" s="5">
        <v>1834</v>
      </c>
      <c r="M88" s="6">
        <f t="shared" si="22"/>
        <v>18.525252525252526</v>
      </c>
      <c r="N88" s="6">
        <v>4.3620000000000001</v>
      </c>
      <c r="O88" s="5">
        <v>99</v>
      </c>
      <c r="P88"/>
      <c r="Q88" s="5">
        <v>2825</v>
      </c>
      <c r="R88" s="6">
        <f t="shared" si="23"/>
        <v>28.25</v>
      </c>
      <c r="S88" s="6">
        <v>6.4219999999999997</v>
      </c>
      <c r="T88" s="5">
        <v>100</v>
      </c>
      <c r="U88">
        <v>753</v>
      </c>
      <c r="V88" s="6">
        <f t="shared" si="24"/>
        <v>7.53</v>
      </c>
      <c r="W88" s="7">
        <v>3.04</v>
      </c>
      <c r="X88" s="5">
        <v>100</v>
      </c>
      <c r="Z88" s="6">
        <f t="shared" si="25"/>
        <v>2.4351145038167941</v>
      </c>
      <c r="AA88" s="6">
        <f t="shared" si="26"/>
        <v>3.7516600265604247</v>
      </c>
      <c r="AB88" s="11">
        <f t="shared" si="27"/>
        <v>0.54065035573484521</v>
      </c>
      <c r="AC88" t="s">
        <v>40</v>
      </c>
      <c r="AE88" t="s">
        <v>421</v>
      </c>
      <c r="AF88" s="4">
        <v>0.37083333333333335</v>
      </c>
      <c r="AG88" s="4">
        <v>0.4236111111111111</v>
      </c>
      <c r="AH88" s="4">
        <f t="shared" si="28"/>
        <v>5.2777777777777757E-2</v>
      </c>
      <c r="AI88" s="4">
        <f t="shared" si="20"/>
        <v>0.37083333333333335</v>
      </c>
      <c r="AJ88" s="4">
        <v>0.52083333333333337</v>
      </c>
      <c r="AK88" s="4">
        <f t="shared" si="29"/>
        <v>0.15000000000000002</v>
      </c>
      <c r="AM88" t="b">
        <v>1</v>
      </c>
    </row>
    <row r="89" spans="1:39" x14ac:dyDescent="0.3">
      <c r="A89" s="3" t="s">
        <v>224</v>
      </c>
      <c r="B89" t="s">
        <v>225</v>
      </c>
      <c r="C89" t="s">
        <v>52</v>
      </c>
      <c r="D89">
        <v>58</v>
      </c>
      <c r="E89" s="1">
        <v>22690</v>
      </c>
      <c r="F89" s="2">
        <v>44140.438668981478</v>
      </c>
      <c r="G89" t="s">
        <v>30</v>
      </c>
      <c r="H89" s="5">
        <v>1954</v>
      </c>
      <c r="I89" s="6">
        <f t="shared" si="21"/>
        <v>19.737373737373737</v>
      </c>
      <c r="J89" s="6">
        <v>4.6760000000000002</v>
      </c>
      <c r="K89" s="5">
        <v>99</v>
      </c>
      <c r="L89" s="5">
        <v>867</v>
      </c>
      <c r="M89" s="6">
        <f t="shared" si="22"/>
        <v>8.7575757575757578</v>
      </c>
      <c r="N89" s="6">
        <v>2.7330000000000001</v>
      </c>
      <c r="O89" s="5">
        <v>99</v>
      </c>
      <c r="P89"/>
      <c r="Q89" s="5">
        <v>1496</v>
      </c>
      <c r="R89" s="6">
        <f t="shared" si="23"/>
        <v>14.96</v>
      </c>
      <c r="S89" s="6">
        <v>4.24</v>
      </c>
      <c r="T89" s="5">
        <v>100</v>
      </c>
      <c r="U89">
        <v>403</v>
      </c>
      <c r="V89" s="6">
        <f t="shared" si="24"/>
        <v>4.03</v>
      </c>
      <c r="W89" s="7">
        <v>1.8879999999999999</v>
      </c>
      <c r="X89" s="5">
        <v>100</v>
      </c>
      <c r="Z89" s="6">
        <f t="shared" si="25"/>
        <v>2.2537485582468282</v>
      </c>
      <c r="AA89" s="6">
        <f t="shared" si="26"/>
        <v>3.7121588089330024</v>
      </c>
      <c r="AB89" s="11">
        <f t="shared" si="27"/>
        <v>0.64710424122052868</v>
      </c>
      <c r="AC89" t="s">
        <v>31</v>
      </c>
      <c r="AE89" t="s">
        <v>420</v>
      </c>
      <c r="AF89" s="4">
        <v>0.37638888888888888</v>
      </c>
      <c r="AG89" s="4">
        <v>0.44444444444444442</v>
      </c>
      <c r="AH89" s="4">
        <f t="shared" si="28"/>
        <v>6.8055555555555536E-2</v>
      </c>
      <c r="AI89" s="4">
        <f t="shared" si="20"/>
        <v>0.37638888888888888</v>
      </c>
      <c r="AJ89" s="4">
        <v>0.52083333333333337</v>
      </c>
      <c r="AK89" s="4">
        <f t="shared" si="29"/>
        <v>0.14444444444444449</v>
      </c>
      <c r="AM89" t="b">
        <v>1</v>
      </c>
    </row>
    <row r="90" spans="1:39" x14ac:dyDescent="0.3">
      <c r="A90" s="3" t="s">
        <v>228</v>
      </c>
      <c r="B90" t="s">
        <v>229</v>
      </c>
      <c r="C90" t="s">
        <v>52</v>
      </c>
      <c r="D90">
        <v>62</v>
      </c>
      <c r="E90" s="1">
        <v>21453</v>
      </c>
      <c r="F90" s="2">
        <v>44141.426666666666</v>
      </c>
      <c r="G90" t="s">
        <v>30</v>
      </c>
      <c r="H90" s="5">
        <v>1904</v>
      </c>
      <c r="I90" s="6">
        <f t="shared" si="21"/>
        <v>19.232323232323232</v>
      </c>
      <c r="J90" s="6">
        <v>4.5439999999999996</v>
      </c>
      <c r="K90" s="5">
        <v>99</v>
      </c>
      <c r="L90" s="5">
        <v>1125</v>
      </c>
      <c r="M90" s="6">
        <f t="shared" si="22"/>
        <v>11.363636363636363</v>
      </c>
      <c r="N90" s="6">
        <v>3.5840000000000001</v>
      </c>
      <c r="O90" s="5">
        <v>99</v>
      </c>
      <c r="P90"/>
      <c r="Q90" s="5">
        <v>1322</v>
      </c>
      <c r="R90" s="6">
        <f t="shared" si="23"/>
        <v>13.353535353535353</v>
      </c>
      <c r="S90" s="6">
        <v>4.3879999999999999</v>
      </c>
      <c r="T90" s="5">
        <v>99</v>
      </c>
      <c r="U90">
        <v>485</v>
      </c>
      <c r="V90" s="6">
        <f t="shared" si="24"/>
        <v>4.8989898989898988</v>
      </c>
      <c r="W90" s="7">
        <v>2.323</v>
      </c>
      <c r="X90" s="5">
        <v>99</v>
      </c>
      <c r="Z90" s="6">
        <f t="shared" si="25"/>
        <v>1.6924444444444444</v>
      </c>
      <c r="AA90" s="6">
        <f t="shared" si="26"/>
        <v>2.7257731958762887</v>
      </c>
      <c r="AB90" s="11">
        <f t="shared" si="27"/>
        <v>0.61055401542060128</v>
      </c>
      <c r="AC90" t="s">
        <v>31</v>
      </c>
      <c r="AE90" t="s">
        <v>421</v>
      </c>
      <c r="AF90" s="4">
        <v>0.3666666666666667</v>
      </c>
      <c r="AG90" s="4">
        <v>0.43055555555555558</v>
      </c>
      <c r="AH90" s="4">
        <f t="shared" si="28"/>
        <v>6.3888888888888884E-2</v>
      </c>
      <c r="AI90" s="4">
        <f t="shared" si="20"/>
        <v>0.3666666666666667</v>
      </c>
      <c r="AJ90" s="4">
        <v>0.52083333333333337</v>
      </c>
      <c r="AK90" s="4">
        <f t="shared" si="29"/>
        <v>0.15416666666666667</v>
      </c>
      <c r="AM90" t="b">
        <v>1</v>
      </c>
    </row>
    <row r="91" spans="1:39" x14ac:dyDescent="0.3">
      <c r="A91" s="3" t="s">
        <v>232</v>
      </c>
      <c r="B91" t="s">
        <v>233</v>
      </c>
      <c r="C91" t="s">
        <v>52</v>
      </c>
      <c r="D91">
        <v>72</v>
      </c>
      <c r="E91" s="1">
        <v>17842</v>
      </c>
      <c r="F91" s="2">
        <v>44144.42459490741</v>
      </c>
      <c r="G91" t="s">
        <v>30</v>
      </c>
      <c r="H91" s="5">
        <v>2031</v>
      </c>
      <c r="I91" s="6">
        <f t="shared" si="21"/>
        <v>20.515151515151516</v>
      </c>
      <c r="J91" s="6">
        <v>1.365</v>
      </c>
      <c r="K91" s="5">
        <v>99</v>
      </c>
      <c r="L91" s="5">
        <v>1191</v>
      </c>
      <c r="M91" s="6">
        <f t="shared" si="22"/>
        <v>12.030303030303031</v>
      </c>
      <c r="N91" s="6">
        <v>1.3959999999999999</v>
      </c>
      <c r="O91" s="5">
        <v>99</v>
      </c>
      <c r="P91"/>
      <c r="Q91" s="5">
        <v>1499</v>
      </c>
      <c r="R91" s="6">
        <f t="shared" si="23"/>
        <v>14.99</v>
      </c>
      <c r="S91" s="6">
        <v>1.5409999999999999</v>
      </c>
      <c r="T91" s="5">
        <v>100</v>
      </c>
      <c r="U91">
        <v>581</v>
      </c>
      <c r="V91" s="6">
        <f t="shared" si="24"/>
        <v>5.81</v>
      </c>
      <c r="W91" s="6">
        <v>0.54500000000000004</v>
      </c>
      <c r="X91" s="5">
        <v>100</v>
      </c>
      <c r="Z91" s="6">
        <f t="shared" si="25"/>
        <v>1.7052896725440805</v>
      </c>
      <c r="AA91" s="6">
        <f t="shared" si="26"/>
        <v>2.5800344234079176</v>
      </c>
      <c r="AB91" s="11">
        <f t="shared" si="27"/>
        <v>0.51295962495264891</v>
      </c>
      <c r="AC91" t="s">
        <v>39</v>
      </c>
      <c r="AE91" t="s">
        <v>422</v>
      </c>
      <c r="AF91" s="4">
        <v>0.38194444444444442</v>
      </c>
      <c r="AG91" s="4">
        <v>0.4375</v>
      </c>
      <c r="AH91" s="4">
        <f t="shared" si="28"/>
        <v>5.555555555555558E-2</v>
      </c>
      <c r="AI91" s="4">
        <f t="shared" si="20"/>
        <v>0.38194444444444442</v>
      </c>
      <c r="AJ91" s="4">
        <v>0.52083333333333337</v>
      </c>
      <c r="AK91" s="4">
        <f t="shared" si="29"/>
        <v>0.13888888888888895</v>
      </c>
      <c r="AM91" t="b">
        <v>1</v>
      </c>
    </row>
    <row r="92" spans="1:39" x14ac:dyDescent="0.3">
      <c r="A92" s="3" t="s">
        <v>230</v>
      </c>
      <c r="B92" t="s">
        <v>231</v>
      </c>
      <c r="C92" t="s">
        <v>52</v>
      </c>
      <c r="D92">
        <v>42</v>
      </c>
      <c r="E92" s="1">
        <v>28452</v>
      </c>
      <c r="F92" s="2">
        <v>44144.445462962962</v>
      </c>
      <c r="G92" t="s">
        <v>30</v>
      </c>
      <c r="H92" s="5">
        <v>2471</v>
      </c>
      <c r="I92" s="6">
        <f t="shared" si="21"/>
        <v>24.959595959595958</v>
      </c>
      <c r="J92" s="6">
        <v>5.859</v>
      </c>
      <c r="K92" s="5">
        <v>99</v>
      </c>
      <c r="L92" s="5">
        <v>1027</v>
      </c>
      <c r="M92" s="6">
        <f t="shared" si="22"/>
        <v>10.373737373737374</v>
      </c>
      <c r="N92" s="6">
        <v>3.573</v>
      </c>
      <c r="O92" s="5">
        <v>99</v>
      </c>
      <c r="P92"/>
      <c r="Q92" s="5">
        <v>1816</v>
      </c>
      <c r="R92" s="6">
        <f t="shared" si="23"/>
        <v>18.343434343434343</v>
      </c>
      <c r="S92" s="6">
        <v>4.883</v>
      </c>
      <c r="T92" s="5">
        <v>99</v>
      </c>
      <c r="U92">
        <v>453</v>
      </c>
      <c r="V92" s="6">
        <f t="shared" si="24"/>
        <v>4.5757575757575761</v>
      </c>
      <c r="W92" s="6">
        <v>2.1190000000000002</v>
      </c>
      <c r="X92" s="5">
        <v>99</v>
      </c>
      <c r="Z92" s="6">
        <f t="shared" si="25"/>
        <v>2.4060370009737095</v>
      </c>
      <c r="AA92" s="6">
        <f t="shared" si="26"/>
        <v>4.0088300220750543</v>
      </c>
      <c r="AB92" s="11">
        <f t="shared" si="27"/>
        <v>0.66615476838165977</v>
      </c>
      <c r="AC92" t="s">
        <v>31</v>
      </c>
      <c r="AE92" t="s">
        <v>420</v>
      </c>
      <c r="AF92" s="4">
        <v>0.3923611111111111</v>
      </c>
      <c r="AG92" s="4">
        <v>0.44444444444444442</v>
      </c>
      <c r="AH92" s="4">
        <f t="shared" si="28"/>
        <v>5.2083333333333315E-2</v>
      </c>
      <c r="AI92" s="4">
        <f t="shared" si="20"/>
        <v>0.3923611111111111</v>
      </c>
      <c r="AJ92" s="4">
        <v>0.52083333333333337</v>
      </c>
      <c r="AK92" s="4">
        <f t="shared" si="29"/>
        <v>0.12847222222222227</v>
      </c>
      <c r="AM92" t="b">
        <v>1</v>
      </c>
    </row>
    <row r="93" spans="1:39" x14ac:dyDescent="0.3">
      <c r="A93" s="3" t="s">
        <v>234</v>
      </c>
      <c r="B93" t="s">
        <v>235</v>
      </c>
      <c r="C93" t="s">
        <v>52</v>
      </c>
      <c r="D93">
        <v>67</v>
      </c>
      <c r="E93" s="1">
        <v>19395</v>
      </c>
      <c r="F93" s="2">
        <v>44145.42864583333</v>
      </c>
      <c r="G93" t="s">
        <v>30</v>
      </c>
      <c r="H93" s="5">
        <v>2807</v>
      </c>
      <c r="I93" s="6">
        <f t="shared" si="21"/>
        <v>28.07</v>
      </c>
      <c r="J93" s="6">
        <v>2.0310000000000001</v>
      </c>
      <c r="K93" s="5">
        <v>100</v>
      </c>
      <c r="L93" s="5">
        <v>1813</v>
      </c>
      <c r="M93" s="6">
        <f t="shared" si="22"/>
        <v>18.13</v>
      </c>
      <c r="N93" s="6">
        <v>2.0779999999999998</v>
      </c>
      <c r="O93" s="5">
        <v>100</v>
      </c>
      <c r="P93"/>
      <c r="Q93" s="5">
        <v>2034</v>
      </c>
      <c r="R93" s="6">
        <f t="shared" si="23"/>
        <v>20.545454545454547</v>
      </c>
      <c r="S93" s="6">
        <v>1.71</v>
      </c>
      <c r="T93" s="5">
        <v>99</v>
      </c>
      <c r="U93">
        <v>885</v>
      </c>
      <c r="V93" s="6">
        <f t="shared" si="24"/>
        <v>8.9393939393939394</v>
      </c>
      <c r="W93" s="6">
        <v>0.81799999999999995</v>
      </c>
      <c r="X93" s="5">
        <v>99</v>
      </c>
      <c r="Z93" s="6">
        <f t="shared" si="25"/>
        <v>1.5482625482625483</v>
      </c>
      <c r="AA93" s="6">
        <f t="shared" si="26"/>
        <v>2.2983050847457629</v>
      </c>
      <c r="AB93" s="11">
        <f t="shared" si="27"/>
        <v>0.48444143877594159</v>
      </c>
      <c r="AC93" t="s">
        <v>53</v>
      </c>
      <c r="AE93" t="s">
        <v>421</v>
      </c>
      <c r="AF93" s="4">
        <v>0.38263888888888892</v>
      </c>
      <c r="AG93" s="4">
        <v>0.44444444444444442</v>
      </c>
      <c r="AH93" s="4">
        <f t="shared" si="28"/>
        <v>6.1805555555555503E-2</v>
      </c>
      <c r="AI93" s="4">
        <f t="shared" si="20"/>
        <v>0.38263888888888892</v>
      </c>
      <c r="AJ93" s="4">
        <v>0.51388888888888895</v>
      </c>
      <c r="AK93" s="4">
        <f t="shared" si="29"/>
        <v>0.13125000000000003</v>
      </c>
      <c r="AM93" t="b">
        <v>1</v>
      </c>
    </row>
    <row r="94" spans="1:39" x14ac:dyDescent="0.3">
      <c r="A94" s="3" t="s">
        <v>236</v>
      </c>
      <c r="B94" t="s">
        <v>237</v>
      </c>
      <c r="C94" t="s">
        <v>29</v>
      </c>
      <c r="D94">
        <v>45</v>
      </c>
      <c r="E94" s="1">
        <v>27527</v>
      </c>
      <c r="F94" s="2">
        <v>44146.413136574076</v>
      </c>
      <c r="G94" t="s">
        <v>30</v>
      </c>
      <c r="H94" s="5">
        <v>4099</v>
      </c>
      <c r="I94" s="6">
        <f t="shared" si="21"/>
        <v>41.404040404040401</v>
      </c>
      <c r="J94" s="6">
        <v>7.0419999999999998</v>
      </c>
      <c r="K94" s="5">
        <v>99</v>
      </c>
      <c r="L94" s="5">
        <v>1077</v>
      </c>
      <c r="M94" s="6">
        <f t="shared" si="22"/>
        <v>10.878787878787879</v>
      </c>
      <c r="N94" s="6">
        <v>3.4710000000000001</v>
      </c>
      <c r="O94" s="5">
        <v>99</v>
      </c>
      <c r="P94"/>
      <c r="Q94" s="5">
        <v>3043</v>
      </c>
      <c r="R94" s="6">
        <f t="shared" si="23"/>
        <v>30.43</v>
      </c>
      <c r="S94" s="6">
        <v>5.5270000000000001</v>
      </c>
      <c r="T94" s="5">
        <v>100</v>
      </c>
      <c r="U94">
        <v>431</v>
      </c>
      <c r="V94" s="6">
        <f t="shared" si="24"/>
        <v>4.3099999999999996</v>
      </c>
      <c r="W94" s="7">
        <v>2.3639999999999999</v>
      </c>
      <c r="X94" s="5">
        <v>100</v>
      </c>
      <c r="Z94" s="6">
        <f t="shared" si="25"/>
        <v>3.8059424326833793</v>
      </c>
      <c r="AA94" s="6">
        <f t="shared" si="26"/>
        <v>7.0603248259860791</v>
      </c>
      <c r="AB94" s="11">
        <f t="shared" si="27"/>
        <v>0.85507924800854063</v>
      </c>
      <c r="AC94" t="s">
        <v>40</v>
      </c>
      <c r="AE94" t="s">
        <v>420</v>
      </c>
      <c r="AF94" s="4">
        <v>0.37777777777777777</v>
      </c>
      <c r="AG94" s="4">
        <v>0.4375</v>
      </c>
      <c r="AH94" s="4">
        <f t="shared" si="28"/>
        <v>5.9722222222222232E-2</v>
      </c>
      <c r="AI94" s="4">
        <f t="shared" si="20"/>
        <v>0.37777777777777777</v>
      </c>
      <c r="AJ94" s="4">
        <v>0.52083333333333337</v>
      </c>
      <c r="AK94" s="4">
        <f t="shared" si="29"/>
        <v>0.1430555555555556</v>
      </c>
      <c r="AM94" t="b">
        <v>1</v>
      </c>
    </row>
    <row r="95" spans="1:39" x14ac:dyDescent="0.3">
      <c r="A95" s="3" t="s">
        <v>240</v>
      </c>
      <c r="B95" t="s">
        <v>241</v>
      </c>
      <c r="C95" t="s">
        <v>29</v>
      </c>
      <c r="D95">
        <v>60</v>
      </c>
      <c r="E95" s="1">
        <v>21884</v>
      </c>
      <c r="F95" s="2">
        <v>44147.43677083333</v>
      </c>
      <c r="G95" t="s">
        <v>30</v>
      </c>
      <c r="H95" s="5">
        <v>3352</v>
      </c>
      <c r="I95" s="6">
        <f t="shared" si="21"/>
        <v>33.858585858585862</v>
      </c>
      <c r="J95" s="6">
        <v>2.19</v>
      </c>
      <c r="K95" s="5">
        <v>99</v>
      </c>
      <c r="L95" s="5">
        <v>1717</v>
      </c>
      <c r="M95" s="6">
        <f t="shared" si="22"/>
        <v>17.343434343434343</v>
      </c>
      <c r="N95" s="6">
        <v>2.0459999999999998</v>
      </c>
      <c r="O95" s="5">
        <v>99</v>
      </c>
      <c r="P95"/>
      <c r="Q95" s="5">
        <v>2516</v>
      </c>
      <c r="R95" s="6">
        <f t="shared" si="23"/>
        <v>25.414141414141415</v>
      </c>
      <c r="S95" s="6">
        <v>2.0950000000000002</v>
      </c>
      <c r="T95" s="5">
        <v>99</v>
      </c>
      <c r="U95">
        <v>779</v>
      </c>
      <c r="V95" s="6">
        <f t="shared" si="24"/>
        <v>7.8686868686868685</v>
      </c>
      <c r="W95" s="6">
        <v>0.98599999999999999</v>
      </c>
      <c r="X95" s="5">
        <v>99</v>
      </c>
      <c r="Z95" s="6">
        <f t="shared" si="25"/>
        <v>1.9522422830518349</v>
      </c>
      <c r="AA95" s="6">
        <f t="shared" si="26"/>
        <v>3.2297817715019259</v>
      </c>
      <c r="AB95" s="11">
        <f t="shared" si="27"/>
        <v>0.65439597305155306</v>
      </c>
      <c r="AC95" t="s">
        <v>53</v>
      </c>
      <c r="AE95" t="s">
        <v>421</v>
      </c>
      <c r="AF95" s="4">
        <v>0.38194444444444442</v>
      </c>
      <c r="AG95" s="4">
        <v>0.4375</v>
      </c>
      <c r="AH95" s="4">
        <f t="shared" si="28"/>
        <v>5.555555555555558E-2</v>
      </c>
      <c r="AI95" s="4">
        <f t="shared" ref="AI95:AI126" si="30">AF95</f>
        <v>0.38194444444444442</v>
      </c>
      <c r="AJ95" s="4">
        <v>0.51736111111111105</v>
      </c>
      <c r="AK95" s="4">
        <f t="shared" si="29"/>
        <v>0.13541666666666663</v>
      </c>
      <c r="AM95" t="b">
        <v>1</v>
      </c>
    </row>
    <row r="96" spans="1:39" x14ac:dyDescent="0.3">
      <c r="A96" s="3" t="s">
        <v>238</v>
      </c>
      <c r="B96" t="s">
        <v>239</v>
      </c>
      <c r="C96" t="s">
        <v>29</v>
      </c>
      <c r="D96">
        <v>71</v>
      </c>
      <c r="E96" s="1">
        <v>17877</v>
      </c>
      <c r="F96" s="2">
        <v>44147.438750000001</v>
      </c>
      <c r="G96" t="s">
        <v>30</v>
      </c>
      <c r="H96" s="5">
        <v>3619</v>
      </c>
      <c r="I96" s="6">
        <f t="shared" si="21"/>
        <v>36.555555555555557</v>
      </c>
      <c r="J96" s="6">
        <v>7.2279999999999998</v>
      </c>
      <c r="K96" s="5">
        <v>99</v>
      </c>
      <c r="L96" s="5">
        <v>1311</v>
      </c>
      <c r="M96" s="6">
        <f t="shared" si="22"/>
        <v>13.242424242424242</v>
      </c>
      <c r="N96" s="6">
        <v>3.706</v>
      </c>
      <c r="O96" s="5">
        <v>99</v>
      </c>
      <c r="P96"/>
      <c r="Q96" s="5">
        <v>2740</v>
      </c>
      <c r="R96" s="6">
        <f t="shared" si="23"/>
        <v>27.676767676767678</v>
      </c>
      <c r="S96" s="6">
        <v>6.2709999999999999</v>
      </c>
      <c r="T96" s="5">
        <v>99</v>
      </c>
      <c r="U96">
        <v>454</v>
      </c>
      <c r="V96" s="6">
        <f t="shared" si="24"/>
        <v>4.5858585858585856</v>
      </c>
      <c r="W96" s="7">
        <v>2.56</v>
      </c>
      <c r="X96" s="5">
        <v>99</v>
      </c>
      <c r="Z96" s="6">
        <f t="shared" si="25"/>
        <v>2.7604881769641496</v>
      </c>
      <c r="AA96" s="6">
        <f t="shared" si="26"/>
        <v>6.035242290748899</v>
      </c>
      <c r="AB96" s="11">
        <f t="shared" si="27"/>
        <v>1.1862952868670369</v>
      </c>
      <c r="AC96" t="s">
        <v>31</v>
      </c>
      <c r="AE96" t="s">
        <v>421</v>
      </c>
      <c r="AF96" s="4">
        <v>0.39374999999999999</v>
      </c>
      <c r="AG96" s="4">
        <v>0.44444444444444442</v>
      </c>
      <c r="AH96" s="4">
        <f t="shared" si="28"/>
        <v>5.0694444444444431E-2</v>
      </c>
      <c r="AI96" s="4">
        <f t="shared" si="30"/>
        <v>0.39374999999999999</v>
      </c>
      <c r="AJ96" s="4">
        <v>0.53472222222222221</v>
      </c>
      <c r="AK96" s="4">
        <f t="shared" si="29"/>
        <v>0.14097222222222222</v>
      </c>
      <c r="AM96" t="b">
        <v>1</v>
      </c>
    </row>
    <row r="97" spans="1:39" x14ac:dyDescent="0.3">
      <c r="A97" s="3" t="s">
        <v>242</v>
      </c>
      <c r="B97" t="s">
        <v>243</v>
      </c>
      <c r="C97" t="s">
        <v>52</v>
      </c>
      <c r="D97">
        <v>61</v>
      </c>
      <c r="E97" s="1">
        <v>21843</v>
      </c>
      <c r="F97" s="2">
        <v>44148.411157407405</v>
      </c>
      <c r="G97" t="s">
        <v>30</v>
      </c>
      <c r="H97" s="5">
        <v>3726</v>
      </c>
      <c r="I97" s="6">
        <f t="shared" si="21"/>
        <v>37.26</v>
      </c>
      <c r="J97" s="6">
        <v>5.6829999999999998</v>
      </c>
      <c r="K97" s="5">
        <v>100</v>
      </c>
      <c r="L97" s="5">
        <v>1550</v>
      </c>
      <c r="M97" s="6">
        <f t="shared" si="22"/>
        <v>15.5</v>
      </c>
      <c r="N97" s="6">
        <v>4.444</v>
      </c>
      <c r="O97" s="5">
        <v>100</v>
      </c>
      <c r="P97"/>
      <c r="Q97" s="5">
        <v>2554</v>
      </c>
      <c r="R97" s="6">
        <f t="shared" si="23"/>
        <v>25.54</v>
      </c>
      <c r="S97" s="6">
        <v>4.8360000000000003</v>
      </c>
      <c r="T97" s="5">
        <v>100</v>
      </c>
      <c r="U97">
        <v>702</v>
      </c>
      <c r="V97" s="6">
        <f t="shared" si="24"/>
        <v>7.02</v>
      </c>
      <c r="W97" s="6">
        <v>2.6320000000000001</v>
      </c>
      <c r="X97" s="5">
        <v>100</v>
      </c>
      <c r="Z97" s="6">
        <f t="shared" si="25"/>
        <v>2.4038709677419354</v>
      </c>
      <c r="AA97" s="6">
        <f t="shared" si="26"/>
        <v>3.6381766381766383</v>
      </c>
      <c r="AB97" s="11">
        <f t="shared" si="27"/>
        <v>0.51346585860810234</v>
      </c>
      <c r="AC97" t="s">
        <v>40</v>
      </c>
      <c r="AE97" t="s">
        <v>420</v>
      </c>
      <c r="AF97" s="4">
        <v>0.38194444444444442</v>
      </c>
      <c r="AG97" s="4">
        <v>0.44444444444444442</v>
      </c>
      <c r="AH97" s="4">
        <f t="shared" si="28"/>
        <v>6.25E-2</v>
      </c>
      <c r="AI97" s="4">
        <f t="shared" si="30"/>
        <v>0.38194444444444442</v>
      </c>
      <c r="AJ97" s="4">
        <v>0.52083333333333337</v>
      </c>
      <c r="AK97" s="4">
        <f t="shared" si="29"/>
        <v>0.13888888888888895</v>
      </c>
      <c r="AM97" t="b">
        <v>1</v>
      </c>
    </row>
    <row r="98" spans="1:39" x14ac:dyDescent="0.3">
      <c r="A98" s="3" t="s">
        <v>246</v>
      </c>
      <c r="B98" t="s">
        <v>247</v>
      </c>
      <c r="C98" t="s">
        <v>29</v>
      </c>
      <c r="D98">
        <v>60</v>
      </c>
      <c r="E98" s="1">
        <v>21966</v>
      </c>
      <c r="F98" s="2">
        <v>44152.421412037038</v>
      </c>
      <c r="G98" t="s">
        <v>30</v>
      </c>
      <c r="H98" s="5">
        <v>3430</v>
      </c>
      <c r="I98" s="6">
        <f t="shared" ref="I98:I129" si="31">H98/K98</f>
        <v>34.299999999999997</v>
      </c>
      <c r="J98" s="6">
        <v>5.859</v>
      </c>
      <c r="K98" s="5">
        <v>100</v>
      </c>
      <c r="L98" s="5">
        <v>1452</v>
      </c>
      <c r="M98" s="6">
        <f t="shared" ref="M98:M129" si="32">L98/O98</f>
        <v>14.52</v>
      </c>
      <c r="N98" s="6">
        <v>3.6080000000000001</v>
      </c>
      <c r="O98" s="5">
        <v>100</v>
      </c>
      <c r="P98"/>
      <c r="Q98" s="5">
        <v>2301</v>
      </c>
      <c r="R98" s="6">
        <f t="shared" ref="R98:R129" si="33">Q98/T98</f>
        <v>23.242424242424242</v>
      </c>
      <c r="S98" s="6">
        <v>5.2140000000000004</v>
      </c>
      <c r="T98" s="5">
        <v>99</v>
      </c>
      <c r="U98">
        <v>405</v>
      </c>
      <c r="V98" s="6">
        <f t="shared" ref="V98:V129" si="34">U98/X98</f>
        <v>4.0909090909090908</v>
      </c>
      <c r="W98" s="6">
        <v>1.9490000000000001</v>
      </c>
      <c r="X98" s="5">
        <v>99</v>
      </c>
      <c r="Z98" s="6">
        <f t="shared" ref="Z98:Z129" si="35">I98/M98</f>
        <v>2.3622589531680438</v>
      </c>
      <c r="AA98" s="6">
        <f t="shared" ref="AA98:AA129" si="36">R98/V98</f>
        <v>5.6814814814814811</v>
      </c>
      <c r="AB98" s="11">
        <f t="shared" ref="AB98:AB129" si="37">(AA98-Z98)/Z98</f>
        <v>1.4051052802073212</v>
      </c>
      <c r="AC98" t="s">
        <v>40</v>
      </c>
      <c r="AE98" s="14" t="s">
        <v>421</v>
      </c>
      <c r="AF98" s="4">
        <v>0.39097222222222222</v>
      </c>
      <c r="AG98" s="4">
        <v>0.44444444444444442</v>
      </c>
      <c r="AH98" s="4">
        <f t="shared" ref="AH98:AH129" si="38">AG98-AF98</f>
        <v>5.3472222222222199E-2</v>
      </c>
      <c r="AI98" s="4">
        <f t="shared" si="30"/>
        <v>0.39097222222222222</v>
      </c>
      <c r="AJ98" s="4">
        <v>0.53472222222222221</v>
      </c>
      <c r="AK98" s="4">
        <f t="shared" ref="AK98:AK129" si="39">AJ98-AI98</f>
        <v>0.14374999999999999</v>
      </c>
      <c r="AM98" t="b">
        <v>1</v>
      </c>
    </row>
    <row r="99" spans="1:39" x14ac:dyDescent="0.3">
      <c r="A99" s="3" t="s">
        <v>244</v>
      </c>
      <c r="B99" t="s">
        <v>245</v>
      </c>
      <c r="C99" t="s">
        <v>29</v>
      </c>
      <c r="D99">
        <v>48</v>
      </c>
      <c r="E99" s="1">
        <v>26469</v>
      </c>
      <c r="F99" s="2">
        <v>44152.436388888891</v>
      </c>
      <c r="G99" t="s">
        <v>30</v>
      </c>
      <c r="H99" s="5">
        <v>2141</v>
      </c>
      <c r="I99" s="6">
        <f t="shared" si="31"/>
        <v>21.626262626262626</v>
      </c>
      <c r="J99" s="6">
        <v>4.3460000000000001</v>
      </c>
      <c r="K99" s="5">
        <v>99</v>
      </c>
      <c r="L99" s="5">
        <v>1045</v>
      </c>
      <c r="M99" s="6">
        <f t="shared" si="32"/>
        <v>10.555555555555555</v>
      </c>
      <c r="N99" s="6">
        <v>3.1760000000000002</v>
      </c>
      <c r="O99" s="5">
        <v>99</v>
      </c>
      <c r="P99"/>
      <c r="Q99" s="5">
        <v>1352</v>
      </c>
      <c r="R99" s="6">
        <f t="shared" si="33"/>
        <v>13.52</v>
      </c>
      <c r="S99" s="6">
        <v>3.976</v>
      </c>
      <c r="T99" s="5">
        <v>100</v>
      </c>
      <c r="U99">
        <v>370</v>
      </c>
      <c r="V99" s="6">
        <f t="shared" si="34"/>
        <v>3.7</v>
      </c>
      <c r="W99" s="6">
        <v>2.2810000000000001</v>
      </c>
      <c r="X99" s="5">
        <v>100</v>
      </c>
      <c r="Z99" s="6">
        <f t="shared" si="35"/>
        <v>2.0488038277511964</v>
      </c>
      <c r="AA99" s="6">
        <f t="shared" si="36"/>
        <v>3.6540540540540536</v>
      </c>
      <c r="AB99" s="11">
        <f t="shared" si="37"/>
        <v>0.78350606561722824</v>
      </c>
      <c r="AC99" t="s">
        <v>31</v>
      </c>
      <c r="AE99" t="s">
        <v>421</v>
      </c>
      <c r="AF99" s="4">
        <v>0.37777777777777777</v>
      </c>
      <c r="AG99" s="4">
        <v>0.44444444444444442</v>
      </c>
      <c r="AH99" s="4">
        <f t="shared" si="38"/>
        <v>6.6666666666666652E-2</v>
      </c>
      <c r="AI99" s="4">
        <f t="shared" si="30"/>
        <v>0.37777777777777777</v>
      </c>
      <c r="AJ99" s="4">
        <v>0.52083333333333337</v>
      </c>
      <c r="AK99" s="4">
        <f t="shared" si="39"/>
        <v>0.1430555555555556</v>
      </c>
      <c r="AM99" t="b">
        <v>1</v>
      </c>
    </row>
    <row r="100" spans="1:39" x14ac:dyDescent="0.3">
      <c r="A100" s="3" t="s">
        <v>248</v>
      </c>
      <c r="B100" t="s">
        <v>249</v>
      </c>
      <c r="C100" t="s">
        <v>29</v>
      </c>
      <c r="D100">
        <v>61</v>
      </c>
      <c r="E100" s="1">
        <v>21610</v>
      </c>
      <c r="F100" s="2">
        <v>44153.442256944443</v>
      </c>
      <c r="G100" t="s">
        <v>30</v>
      </c>
      <c r="H100" s="5">
        <v>3915</v>
      </c>
      <c r="I100" s="6">
        <f t="shared" si="31"/>
        <v>39.15</v>
      </c>
      <c r="J100" s="6">
        <v>6.2590000000000003</v>
      </c>
      <c r="K100" s="5">
        <v>100</v>
      </c>
      <c r="L100" s="5">
        <v>1288</v>
      </c>
      <c r="M100" s="6">
        <f t="shared" si="32"/>
        <v>12.88</v>
      </c>
      <c r="N100" s="6">
        <v>3.2909999999999999</v>
      </c>
      <c r="O100" s="5">
        <v>100</v>
      </c>
      <c r="P100"/>
      <c r="Q100" s="5">
        <v>2807</v>
      </c>
      <c r="R100" s="6">
        <f t="shared" si="33"/>
        <v>28.353535353535353</v>
      </c>
      <c r="S100" s="6">
        <v>5.8920000000000003</v>
      </c>
      <c r="T100" s="5">
        <v>99</v>
      </c>
      <c r="U100">
        <v>473</v>
      </c>
      <c r="V100" s="6">
        <f t="shared" si="34"/>
        <v>4.7777777777777777</v>
      </c>
      <c r="W100" s="6">
        <v>1.9770000000000001</v>
      </c>
      <c r="X100" s="5">
        <v>99</v>
      </c>
      <c r="Z100" s="6">
        <f t="shared" si="35"/>
        <v>3.0395962732919251</v>
      </c>
      <c r="AA100" s="6">
        <f t="shared" si="36"/>
        <v>5.9344608879492604</v>
      </c>
      <c r="AB100" s="11">
        <f t="shared" si="37"/>
        <v>0.95238457820655131</v>
      </c>
      <c r="AC100" t="s">
        <v>40</v>
      </c>
      <c r="AE100" s="14" t="s">
        <v>422</v>
      </c>
      <c r="AF100" s="4">
        <v>0.38055555555555554</v>
      </c>
      <c r="AG100" s="4">
        <v>0.44444444444444442</v>
      </c>
      <c r="AH100" s="4">
        <f t="shared" si="38"/>
        <v>6.3888888888888884E-2</v>
      </c>
      <c r="AI100" s="4">
        <f t="shared" si="30"/>
        <v>0.38055555555555554</v>
      </c>
      <c r="AJ100" s="4">
        <v>0.53472222222222221</v>
      </c>
      <c r="AK100" s="4">
        <f t="shared" si="39"/>
        <v>0.15416666666666667</v>
      </c>
      <c r="AM100" t="b">
        <v>1</v>
      </c>
    </row>
    <row r="101" spans="1:39" x14ac:dyDescent="0.3">
      <c r="A101" s="3" t="s">
        <v>250</v>
      </c>
      <c r="B101" t="s">
        <v>251</v>
      </c>
      <c r="C101" t="s">
        <v>29</v>
      </c>
      <c r="D101">
        <v>58</v>
      </c>
      <c r="E101" s="1">
        <v>22689</v>
      </c>
      <c r="F101" s="2">
        <v>44153.444756944446</v>
      </c>
      <c r="G101" t="s">
        <v>30</v>
      </c>
      <c r="H101" s="5">
        <v>2325</v>
      </c>
      <c r="I101" s="6">
        <f t="shared" si="31"/>
        <v>23.484848484848484</v>
      </c>
      <c r="J101" s="6">
        <v>5.3739999999999997</v>
      </c>
      <c r="K101" s="5">
        <v>99</v>
      </c>
      <c r="L101" s="5">
        <v>690</v>
      </c>
      <c r="M101" s="6">
        <f t="shared" si="32"/>
        <v>6.9696969696969697</v>
      </c>
      <c r="N101" s="6">
        <v>3.0419999999999998</v>
      </c>
      <c r="O101" s="5">
        <v>99</v>
      </c>
      <c r="P101"/>
      <c r="Q101" s="5">
        <v>1573</v>
      </c>
      <c r="R101" s="6">
        <f t="shared" si="33"/>
        <v>15.888888888888889</v>
      </c>
      <c r="S101" s="6">
        <v>4.2110000000000003</v>
      </c>
      <c r="T101" s="5">
        <v>99</v>
      </c>
      <c r="U101">
        <v>322</v>
      </c>
      <c r="V101" s="6">
        <f t="shared" si="34"/>
        <v>3.2525252525252526</v>
      </c>
      <c r="W101" s="6">
        <v>1.94</v>
      </c>
      <c r="X101" s="5">
        <v>99</v>
      </c>
      <c r="Z101" s="6">
        <f t="shared" si="35"/>
        <v>3.3695652173913042</v>
      </c>
      <c r="AA101" s="6">
        <f t="shared" si="36"/>
        <v>4.8850931677018634</v>
      </c>
      <c r="AB101" s="11">
        <f t="shared" si="37"/>
        <v>0.44976958525345628</v>
      </c>
      <c r="AC101" t="s">
        <v>31</v>
      </c>
      <c r="AE101" t="s">
        <v>420</v>
      </c>
      <c r="AF101" s="4">
        <v>0.37777777777777777</v>
      </c>
      <c r="AG101" s="4">
        <v>0.44444444444444442</v>
      </c>
      <c r="AH101" s="4">
        <f t="shared" si="38"/>
        <v>6.6666666666666652E-2</v>
      </c>
      <c r="AI101" s="4">
        <f t="shared" si="30"/>
        <v>0.37777777777777777</v>
      </c>
      <c r="AJ101" s="4">
        <v>0.53472222222222221</v>
      </c>
      <c r="AK101" s="4">
        <f t="shared" si="39"/>
        <v>0.15694444444444444</v>
      </c>
      <c r="AM101" t="b">
        <v>1</v>
      </c>
    </row>
    <row r="102" spans="1:39" x14ac:dyDescent="0.3">
      <c r="A102" s="3" t="s">
        <v>254</v>
      </c>
      <c r="B102" t="s">
        <v>255</v>
      </c>
      <c r="C102" t="s">
        <v>29</v>
      </c>
      <c r="D102">
        <v>45</v>
      </c>
      <c r="E102" s="1">
        <v>27510</v>
      </c>
      <c r="F102" s="2">
        <v>44154.429861111108</v>
      </c>
      <c r="G102" t="s">
        <v>30</v>
      </c>
      <c r="H102" s="5">
        <v>3888</v>
      </c>
      <c r="I102" s="6">
        <f t="shared" si="31"/>
        <v>38.880000000000003</v>
      </c>
      <c r="J102" s="6">
        <v>5.5819999999999999</v>
      </c>
      <c r="K102" s="5">
        <v>100</v>
      </c>
      <c r="L102" s="5">
        <v>2351</v>
      </c>
      <c r="M102" s="6">
        <f t="shared" si="32"/>
        <v>23.51</v>
      </c>
      <c r="N102" s="6">
        <v>5.07</v>
      </c>
      <c r="O102" s="5">
        <v>100</v>
      </c>
      <c r="P102"/>
      <c r="Q102" s="5">
        <v>2646</v>
      </c>
      <c r="R102" s="6">
        <f t="shared" si="33"/>
        <v>26.727272727272727</v>
      </c>
      <c r="S102" s="6">
        <v>4.9710000000000001</v>
      </c>
      <c r="T102" s="5">
        <v>99</v>
      </c>
      <c r="U102">
        <v>803</v>
      </c>
      <c r="V102" s="6">
        <f t="shared" si="34"/>
        <v>8.1111111111111107</v>
      </c>
      <c r="W102" s="6">
        <v>2.9790000000000001</v>
      </c>
      <c r="X102" s="5">
        <v>99</v>
      </c>
      <c r="Z102" s="6">
        <f t="shared" si="35"/>
        <v>1.6537643555933645</v>
      </c>
      <c r="AA102" s="6">
        <f t="shared" si="36"/>
        <v>3.2951432129514324</v>
      </c>
      <c r="AB102" s="11">
        <f t="shared" si="37"/>
        <v>0.9925107236751074</v>
      </c>
      <c r="AC102" t="s">
        <v>40</v>
      </c>
      <c r="AE102" s="14" t="s">
        <v>420</v>
      </c>
      <c r="AF102" s="4">
        <v>0.39583333333333331</v>
      </c>
      <c r="AG102" s="4">
        <v>0.44444444444444442</v>
      </c>
      <c r="AH102" s="4">
        <f t="shared" si="38"/>
        <v>4.8611111111111105E-2</v>
      </c>
      <c r="AI102" s="4">
        <f t="shared" si="30"/>
        <v>0.39583333333333331</v>
      </c>
      <c r="AJ102" s="4">
        <v>0.53472222222222221</v>
      </c>
      <c r="AK102" s="4">
        <f t="shared" si="39"/>
        <v>0.1388888888888889</v>
      </c>
      <c r="AM102" t="b">
        <v>1</v>
      </c>
    </row>
    <row r="103" spans="1:39" x14ac:dyDescent="0.3">
      <c r="A103" s="3" t="s">
        <v>252</v>
      </c>
      <c r="B103" t="s">
        <v>253</v>
      </c>
      <c r="C103" t="s">
        <v>29</v>
      </c>
      <c r="D103">
        <v>53</v>
      </c>
      <c r="E103" s="1">
        <v>24761</v>
      </c>
      <c r="F103" s="2">
        <v>44154.431458333333</v>
      </c>
      <c r="G103" t="s">
        <v>30</v>
      </c>
      <c r="H103" s="5">
        <v>2075</v>
      </c>
      <c r="I103" s="6">
        <f t="shared" si="31"/>
        <v>20.75</v>
      </c>
      <c r="J103" s="6">
        <v>2.0369999999999999</v>
      </c>
      <c r="K103" s="5">
        <v>100</v>
      </c>
      <c r="L103" s="5">
        <v>855</v>
      </c>
      <c r="M103" s="6">
        <f t="shared" si="32"/>
        <v>8.6363636363636367</v>
      </c>
      <c r="N103" s="6">
        <v>1.0349999999999999</v>
      </c>
      <c r="O103" s="5">
        <v>99</v>
      </c>
      <c r="P103"/>
      <c r="Q103" s="5">
        <v>1653</v>
      </c>
      <c r="R103" s="6">
        <f t="shared" si="33"/>
        <v>16.696969696969695</v>
      </c>
      <c r="S103" s="6">
        <v>4.923</v>
      </c>
      <c r="T103" s="5">
        <v>99</v>
      </c>
      <c r="U103">
        <v>337</v>
      </c>
      <c r="V103" s="6">
        <f t="shared" si="34"/>
        <v>3.404040404040404</v>
      </c>
      <c r="W103" s="6">
        <v>1.702</v>
      </c>
      <c r="X103" s="5">
        <v>99</v>
      </c>
      <c r="Z103" s="6">
        <f t="shared" si="35"/>
        <v>2.4026315789473682</v>
      </c>
      <c r="AA103" s="6">
        <f t="shared" si="36"/>
        <v>4.9050445103857561</v>
      </c>
      <c r="AB103" s="11">
        <f t="shared" si="37"/>
        <v>1.0415300262284639</v>
      </c>
      <c r="AC103" t="s">
        <v>39</v>
      </c>
      <c r="AE103" t="s">
        <v>420</v>
      </c>
      <c r="AF103" s="4">
        <v>0.38680555555555557</v>
      </c>
      <c r="AG103" s="4">
        <v>0.44444444444444442</v>
      </c>
      <c r="AH103" s="4">
        <f t="shared" si="38"/>
        <v>5.7638888888888851E-2</v>
      </c>
      <c r="AI103" s="4">
        <f t="shared" si="30"/>
        <v>0.38680555555555557</v>
      </c>
      <c r="AJ103" s="4">
        <v>0.54166666666666663</v>
      </c>
      <c r="AK103" s="4">
        <f t="shared" si="39"/>
        <v>0.15486111111111106</v>
      </c>
      <c r="AM103" t="b">
        <v>1</v>
      </c>
    </row>
    <row r="104" spans="1:39" x14ac:dyDescent="0.3">
      <c r="A104" s="3" t="s">
        <v>258</v>
      </c>
      <c r="B104" t="s">
        <v>259</v>
      </c>
      <c r="C104" t="s">
        <v>29</v>
      </c>
      <c r="D104">
        <v>53</v>
      </c>
      <c r="E104" s="1">
        <v>24453</v>
      </c>
      <c r="F104" s="2">
        <v>44155.418738425928</v>
      </c>
      <c r="G104" t="s">
        <v>30</v>
      </c>
      <c r="H104" s="5">
        <v>2844</v>
      </c>
      <c r="I104" s="6">
        <f t="shared" si="31"/>
        <v>28.44</v>
      </c>
      <c r="J104" s="6">
        <v>5.7460000000000004</v>
      </c>
      <c r="K104" s="5">
        <v>100</v>
      </c>
      <c r="L104" s="5">
        <v>1337</v>
      </c>
      <c r="M104" s="6">
        <f t="shared" si="32"/>
        <v>13.37</v>
      </c>
      <c r="N104" s="6">
        <v>4.1040000000000001</v>
      </c>
      <c r="O104" s="5">
        <v>100</v>
      </c>
      <c r="P104"/>
      <c r="Q104" s="5">
        <v>1901</v>
      </c>
      <c r="R104" s="6">
        <f t="shared" si="33"/>
        <v>19.202020202020201</v>
      </c>
      <c r="S104" s="6">
        <v>4.2670000000000003</v>
      </c>
      <c r="T104" s="5">
        <v>99</v>
      </c>
      <c r="U104">
        <v>558</v>
      </c>
      <c r="V104" s="6">
        <f t="shared" si="34"/>
        <v>5.6363636363636367</v>
      </c>
      <c r="W104" s="6">
        <v>2.234</v>
      </c>
      <c r="X104" s="5">
        <v>99</v>
      </c>
      <c r="Z104" s="6">
        <f t="shared" si="35"/>
        <v>2.1271503365744207</v>
      </c>
      <c r="AA104" s="6">
        <f t="shared" si="36"/>
        <v>3.4068100358422932</v>
      </c>
      <c r="AB104" s="11">
        <f t="shared" si="37"/>
        <v>0.6015840428696011</v>
      </c>
      <c r="AC104" t="s">
        <v>40</v>
      </c>
      <c r="AE104" t="s">
        <v>421</v>
      </c>
      <c r="AF104" s="4">
        <v>0.39374999999999999</v>
      </c>
      <c r="AG104" s="4">
        <v>0.44444444444444442</v>
      </c>
      <c r="AH104" s="4">
        <f t="shared" si="38"/>
        <v>5.0694444444444431E-2</v>
      </c>
      <c r="AI104" s="4">
        <f t="shared" si="30"/>
        <v>0.39374999999999999</v>
      </c>
      <c r="AJ104" s="4">
        <v>0.53472222222222221</v>
      </c>
      <c r="AK104" s="4">
        <f t="shared" si="39"/>
        <v>0.14097222222222222</v>
      </c>
      <c r="AM104" t="b">
        <v>1</v>
      </c>
    </row>
    <row r="105" spans="1:39" x14ac:dyDescent="0.3">
      <c r="A105" s="3" t="s">
        <v>256</v>
      </c>
      <c r="B105" t="s">
        <v>257</v>
      </c>
      <c r="C105" t="s">
        <v>29</v>
      </c>
      <c r="D105">
        <v>71</v>
      </c>
      <c r="E105" s="1">
        <v>17935</v>
      </c>
      <c r="F105" s="2">
        <v>44155.441724537035</v>
      </c>
      <c r="G105" t="s">
        <v>30</v>
      </c>
      <c r="H105" s="5">
        <v>2280</v>
      </c>
      <c r="I105" s="6">
        <f t="shared" si="31"/>
        <v>23.030303030303031</v>
      </c>
      <c r="J105" s="6">
        <v>5.34</v>
      </c>
      <c r="K105" s="5">
        <v>99</v>
      </c>
      <c r="L105" s="5">
        <v>1353</v>
      </c>
      <c r="M105" s="6">
        <f t="shared" si="32"/>
        <v>13.666666666666666</v>
      </c>
      <c r="N105" s="6">
        <v>4.0910000000000002</v>
      </c>
      <c r="O105" s="5">
        <v>99</v>
      </c>
      <c r="P105"/>
      <c r="Q105" s="5">
        <v>2941</v>
      </c>
      <c r="R105" s="6">
        <f t="shared" si="33"/>
        <v>29.707070707070706</v>
      </c>
      <c r="S105" s="6">
        <v>6.2549999999999999</v>
      </c>
      <c r="T105" s="5">
        <v>99</v>
      </c>
      <c r="U105">
        <v>734</v>
      </c>
      <c r="V105" s="6">
        <f t="shared" si="34"/>
        <v>7.4141414141414144</v>
      </c>
      <c r="W105" s="6">
        <v>3.117</v>
      </c>
      <c r="X105" s="5">
        <v>99</v>
      </c>
      <c r="Z105" s="6">
        <f t="shared" si="35"/>
        <v>1.6851441241685146</v>
      </c>
      <c r="AA105" s="6">
        <f t="shared" si="36"/>
        <v>4.0068119891008172</v>
      </c>
      <c r="AB105" s="11">
        <f t="shared" si="37"/>
        <v>1.3777265882690373</v>
      </c>
      <c r="AC105" t="s">
        <v>31</v>
      </c>
      <c r="AE105" t="s">
        <v>421</v>
      </c>
      <c r="AF105" s="4">
        <v>0.37847222222222227</v>
      </c>
      <c r="AG105" s="4">
        <v>0.44444444444444442</v>
      </c>
      <c r="AH105" s="4">
        <f t="shared" si="38"/>
        <v>6.5972222222222154E-2</v>
      </c>
      <c r="AI105" s="4">
        <f t="shared" si="30"/>
        <v>0.37847222222222227</v>
      </c>
      <c r="AJ105" s="4">
        <v>0.52083333333333337</v>
      </c>
      <c r="AK105" s="4">
        <f t="shared" si="39"/>
        <v>0.1423611111111111</v>
      </c>
      <c r="AM105" t="b">
        <v>1</v>
      </c>
    </row>
    <row r="106" spans="1:39" x14ac:dyDescent="0.3">
      <c r="A106" s="3" t="s">
        <v>260</v>
      </c>
      <c r="B106" t="s">
        <v>261</v>
      </c>
      <c r="C106" t="s">
        <v>29</v>
      </c>
      <c r="D106">
        <v>42</v>
      </c>
      <c r="E106" s="1">
        <v>28557</v>
      </c>
      <c r="F106" s="2">
        <v>44159.439884259256</v>
      </c>
      <c r="G106" t="s">
        <v>30</v>
      </c>
      <c r="H106" s="5">
        <v>1657</v>
      </c>
      <c r="I106" s="6">
        <f t="shared" si="31"/>
        <v>16.737373737373737</v>
      </c>
      <c r="J106" s="6">
        <v>4.55</v>
      </c>
      <c r="K106" s="5">
        <v>99</v>
      </c>
      <c r="L106" s="5">
        <v>1053</v>
      </c>
      <c r="M106" s="6">
        <f t="shared" si="32"/>
        <v>10.636363636363637</v>
      </c>
      <c r="N106" s="6">
        <v>4.0839999999999996</v>
      </c>
      <c r="O106" s="5">
        <v>99</v>
      </c>
      <c r="P106"/>
      <c r="Q106" s="5">
        <v>1072</v>
      </c>
      <c r="R106" s="6">
        <f t="shared" si="33"/>
        <v>10.828282828282829</v>
      </c>
      <c r="S106" s="6">
        <v>3.5339999999999998</v>
      </c>
      <c r="T106" s="5">
        <v>99</v>
      </c>
      <c r="U106">
        <v>339</v>
      </c>
      <c r="V106" s="6">
        <f t="shared" si="34"/>
        <v>3.4242424242424243</v>
      </c>
      <c r="W106" s="6">
        <v>1.629</v>
      </c>
      <c r="X106" s="5">
        <v>99</v>
      </c>
      <c r="Z106" s="6">
        <f t="shared" si="35"/>
        <v>1.5735992402659069</v>
      </c>
      <c r="AA106" s="6">
        <f t="shared" si="36"/>
        <v>3.1622418879056049</v>
      </c>
      <c r="AB106" s="11">
        <f t="shared" si="37"/>
        <v>1.0095598720365733</v>
      </c>
      <c r="AC106" t="s">
        <v>31</v>
      </c>
      <c r="AE106" t="s">
        <v>420</v>
      </c>
      <c r="AF106" s="4">
        <v>0.3923611111111111</v>
      </c>
      <c r="AG106" s="4">
        <v>0.44444444444444442</v>
      </c>
      <c r="AH106" s="4">
        <f t="shared" si="38"/>
        <v>5.2083333333333315E-2</v>
      </c>
      <c r="AI106" s="4">
        <f t="shared" si="30"/>
        <v>0.3923611111111111</v>
      </c>
      <c r="AJ106" s="4">
        <v>0.52083333333333337</v>
      </c>
      <c r="AK106" s="4">
        <f t="shared" si="39"/>
        <v>0.12847222222222227</v>
      </c>
      <c r="AM106" t="b">
        <v>1</v>
      </c>
    </row>
    <row r="107" spans="1:39" x14ac:dyDescent="0.3">
      <c r="A107" s="3" t="s">
        <v>266</v>
      </c>
      <c r="B107" t="s">
        <v>267</v>
      </c>
      <c r="C107" t="s">
        <v>29</v>
      </c>
      <c r="D107">
        <v>44</v>
      </c>
      <c r="E107" s="1">
        <v>27761</v>
      </c>
      <c r="F107" s="2">
        <v>44160.410428240742</v>
      </c>
      <c r="G107" t="s">
        <v>30</v>
      </c>
      <c r="H107" s="5">
        <v>3679</v>
      </c>
      <c r="I107" s="6">
        <f t="shared" si="31"/>
        <v>37.161616161616159</v>
      </c>
      <c r="J107" s="6">
        <v>6.3760000000000003</v>
      </c>
      <c r="K107" s="5">
        <v>99</v>
      </c>
      <c r="L107" s="5">
        <v>1945</v>
      </c>
      <c r="M107" s="6">
        <f t="shared" si="32"/>
        <v>19.646464646464647</v>
      </c>
      <c r="N107" s="6">
        <v>3.6709999999999998</v>
      </c>
      <c r="O107" s="5">
        <v>99</v>
      </c>
      <c r="P107"/>
      <c r="Q107" s="5">
        <v>2319</v>
      </c>
      <c r="R107" s="6">
        <f t="shared" si="33"/>
        <v>23.424242424242426</v>
      </c>
      <c r="S107" s="6">
        <v>5.3659999999999997</v>
      </c>
      <c r="T107" s="5">
        <v>99</v>
      </c>
      <c r="U107" s="5">
        <v>590</v>
      </c>
      <c r="V107" s="6">
        <f t="shared" si="34"/>
        <v>5.9595959595959593</v>
      </c>
      <c r="W107" s="6">
        <v>2.6259999999999999</v>
      </c>
      <c r="X107" s="5">
        <v>99</v>
      </c>
      <c r="Z107" s="6">
        <f t="shared" si="35"/>
        <v>1.8915167095115679</v>
      </c>
      <c r="AA107" s="6">
        <f t="shared" si="36"/>
        <v>3.9305084745762717</v>
      </c>
      <c r="AB107" s="11">
        <f t="shared" si="37"/>
        <v>1.0779665623949033</v>
      </c>
      <c r="AC107" t="s">
        <v>40</v>
      </c>
      <c r="AE107" t="s">
        <v>420</v>
      </c>
      <c r="AF107" s="4">
        <v>0.3972222222222222</v>
      </c>
      <c r="AG107" s="4">
        <v>0.44444444444444442</v>
      </c>
      <c r="AH107" s="4">
        <f t="shared" si="38"/>
        <v>4.7222222222222221E-2</v>
      </c>
      <c r="AI107" s="4">
        <f t="shared" si="30"/>
        <v>0.3972222222222222</v>
      </c>
      <c r="AJ107" s="4">
        <v>0.53472222222222221</v>
      </c>
      <c r="AK107" s="4">
        <f t="shared" si="39"/>
        <v>0.13750000000000001</v>
      </c>
      <c r="AM107" t="b">
        <v>1</v>
      </c>
    </row>
    <row r="108" spans="1:39" x14ac:dyDescent="0.3">
      <c r="A108" s="3" t="s">
        <v>262</v>
      </c>
      <c r="B108" t="s">
        <v>263</v>
      </c>
      <c r="C108" t="s">
        <v>52</v>
      </c>
      <c r="D108">
        <v>51</v>
      </c>
      <c r="E108" s="1">
        <v>25528</v>
      </c>
      <c r="F108" s="2">
        <v>44160.437442129631</v>
      </c>
      <c r="G108" t="s">
        <v>30</v>
      </c>
      <c r="H108" s="5">
        <v>1367</v>
      </c>
      <c r="I108" s="6">
        <f t="shared" si="31"/>
        <v>13.67</v>
      </c>
      <c r="J108" s="6">
        <v>1.5249999999999999</v>
      </c>
      <c r="K108" s="5">
        <v>100</v>
      </c>
      <c r="L108" s="5">
        <v>877</v>
      </c>
      <c r="M108" s="6">
        <f t="shared" si="32"/>
        <v>8.77</v>
      </c>
      <c r="N108" s="6">
        <v>1.014</v>
      </c>
      <c r="O108" s="5">
        <v>100</v>
      </c>
      <c r="P108"/>
      <c r="Q108" s="5">
        <v>918</v>
      </c>
      <c r="R108" s="6">
        <f t="shared" si="33"/>
        <v>9.18</v>
      </c>
      <c r="S108" s="6">
        <v>1.175</v>
      </c>
      <c r="T108" s="5">
        <v>100</v>
      </c>
      <c r="U108">
        <v>267</v>
      </c>
      <c r="V108" s="6">
        <f t="shared" si="34"/>
        <v>2.67</v>
      </c>
      <c r="W108" s="6">
        <v>0.68200000000000005</v>
      </c>
      <c r="X108" s="5">
        <v>100</v>
      </c>
      <c r="Z108" s="6">
        <f t="shared" si="35"/>
        <v>1.5587229190421894</v>
      </c>
      <c r="AA108" s="6">
        <f t="shared" si="36"/>
        <v>3.4382022471910112</v>
      </c>
      <c r="AB108" s="11">
        <f t="shared" si="37"/>
        <v>1.2057815441013289</v>
      </c>
      <c r="AC108" t="s">
        <v>39</v>
      </c>
      <c r="AE108" t="s">
        <v>420</v>
      </c>
      <c r="AF108" s="4">
        <v>0.39513888888888887</v>
      </c>
      <c r="AG108" s="4">
        <v>0.44097222222222227</v>
      </c>
      <c r="AH108" s="4">
        <f t="shared" si="38"/>
        <v>4.5833333333333393E-2</v>
      </c>
      <c r="AI108" s="4">
        <f t="shared" si="30"/>
        <v>0.39513888888888887</v>
      </c>
      <c r="AJ108" s="4">
        <v>0.52083333333333337</v>
      </c>
      <c r="AK108" s="4">
        <f t="shared" si="39"/>
        <v>0.1256944444444445</v>
      </c>
      <c r="AM108" t="b">
        <v>1</v>
      </c>
    </row>
    <row r="109" spans="1:39" x14ac:dyDescent="0.3">
      <c r="A109" s="3" t="s">
        <v>264</v>
      </c>
      <c r="B109" t="s">
        <v>265</v>
      </c>
      <c r="C109" t="s">
        <v>29</v>
      </c>
      <c r="D109">
        <v>50</v>
      </c>
      <c r="E109" s="1">
        <v>25744</v>
      </c>
      <c r="F109" s="2">
        <v>44160.437789351854</v>
      </c>
      <c r="G109" t="s">
        <v>30</v>
      </c>
      <c r="H109" s="5">
        <v>2034</v>
      </c>
      <c r="I109" s="6">
        <f t="shared" si="31"/>
        <v>20.34</v>
      </c>
      <c r="J109" s="6">
        <v>5.4459999999999997</v>
      </c>
      <c r="K109" s="5">
        <v>100</v>
      </c>
      <c r="L109" s="5">
        <v>987</v>
      </c>
      <c r="M109" s="6">
        <f t="shared" si="32"/>
        <v>9.8699999999999992</v>
      </c>
      <c r="N109" s="6">
        <v>2.6080000000000001</v>
      </c>
      <c r="O109" s="5">
        <v>100</v>
      </c>
      <c r="P109"/>
      <c r="Q109" s="5">
        <v>1417</v>
      </c>
      <c r="R109" s="6">
        <f t="shared" si="33"/>
        <v>14.17</v>
      </c>
      <c r="S109" s="6">
        <v>3.6429999999999998</v>
      </c>
      <c r="T109" s="5">
        <v>100</v>
      </c>
      <c r="U109">
        <v>375</v>
      </c>
      <c r="V109" s="6">
        <f t="shared" si="34"/>
        <v>3.75</v>
      </c>
      <c r="W109" s="6">
        <v>2.032</v>
      </c>
      <c r="X109" s="5">
        <v>100</v>
      </c>
      <c r="Z109" s="6">
        <f t="shared" si="35"/>
        <v>2.0607902735562313</v>
      </c>
      <c r="AA109" s="6">
        <f t="shared" si="36"/>
        <v>3.7786666666666666</v>
      </c>
      <c r="AB109" s="11">
        <f t="shared" si="37"/>
        <v>0.83360078662733494</v>
      </c>
      <c r="AC109" t="s">
        <v>31</v>
      </c>
      <c r="AE109" t="s">
        <v>421</v>
      </c>
      <c r="AF109" s="4">
        <v>0.38750000000000001</v>
      </c>
      <c r="AG109" s="4">
        <v>0.4375</v>
      </c>
      <c r="AH109" s="4">
        <f t="shared" si="38"/>
        <v>4.9999999999999989E-2</v>
      </c>
      <c r="AI109" s="4">
        <f t="shared" si="30"/>
        <v>0.38750000000000001</v>
      </c>
      <c r="AJ109" s="4">
        <v>0.52083333333333337</v>
      </c>
      <c r="AK109" s="4">
        <f t="shared" si="39"/>
        <v>0.13333333333333336</v>
      </c>
      <c r="AM109" t="b">
        <v>1</v>
      </c>
    </row>
    <row r="110" spans="1:39" x14ac:dyDescent="0.3">
      <c r="A110" s="3" t="s">
        <v>268</v>
      </c>
      <c r="B110" t="s">
        <v>269</v>
      </c>
      <c r="C110" t="s">
        <v>29</v>
      </c>
      <c r="D110">
        <v>42</v>
      </c>
      <c r="E110" s="1">
        <v>28605</v>
      </c>
      <c r="F110" s="2">
        <v>44162.39502314815</v>
      </c>
      <c r="G110" t="s">
        <v>30</v>
      </c>
      <c r="H110" s="5">
        <v>2654</v>
      </c>
      <c r="I110" s="6">
        <f t="shared" si="31"/>
        <v>26.54</v>
      </c>
      <c r="J110" s="6">
        <v>5.7549999999999999</v>
      </c>
      <c r="K110" s="5">
        <v>100</v>
      </c>
      <c r="L110" s="5">
        <v>1585</v>
      </c>
      <c r="M110" s="6">
        <f t="shared" si="32"/>
        <v>15.85</v>
      </c>
      <c r="N110" s="6">
        <v>4.0960000000000001</v>
      </c>
      <c r="O110" s="5">
        <v>100</v>
      </c>
      <c r="P110"/>
      <c r="Q110" s="5">
        <v>1702</v>
      </c>
      <c r="R110" s="6">
        <f t="shared" si="33"/>
        <v>17.02</v>
      </c>
      <c r="S110" s="6">
        <v>4.0149999999999997</v>
      </c>
      <c r="T110" s="5">
        <v>100</v>
      </c>
      <c r="U110">
        <v>558</v>
      </c>
      <c r="V110" s="6">
        <f t="shared" si="34"/>
        <v>5.58</v>
      </c>
      <c r="W110" s="6">
        <v>2.4249999999999998</v>
      </c>
      <c r="X110" s="5">
        <v>100</v>
      </c>
      <c r="Z110" s="6">
        <f t="shared" si="35"/>
        <v>1.6744479495268139</v>
      </c>
      <c r="AA110" s="6">
        <f t="shared" si="36"/>
        <v>3.0501792114695339</v>
      </c>
      <c r="AB110" s="11">
        <f t="shared" si="37"/>
        <v>0.8216028825091225</v>
      </c>
      <c r="AC110" t="s">
        <v>40</v>
      </c>
      <c r="AE110" t="s">
        <v>420</v>
      </c>
      <c r="AF110" s="4">
        <v>0.43541666666666662</v>
      </c>
      <c r="AG110" s="4">
        <v>0.4375</v>
      </c>
      <c r="AH110" s="4">
        <f t="shared" si="38"/>
        <v>2.0833333333333814E-3</v>
      </c>
      <c r="AI110" s="4">
        <f t="shared" si="30"/>
        <v>0.43541666666666662</v>
      </c>
      <c r="AJ110" s="4">
        <v>0.53472222222222221</v>
      </c>
      <c r="AK110" s="4">
        <f t="shared" si="39"/>
        <v>9.9305555555555591E-2</v>
      </c>
      <c r="AM110" t="b">
        <v>1</v>
      </c>
    </row>
    <row r="111" spans="1:39" x14ac:dyDescent="0.3">
      <c r="A111" s="3" t="s">
        <v>270</v>
      </c>
      <c r="B111" t="s">
        <v>271</v>
      </c>
      <c r="C111" t="s">
        <v>29</v>
      </c>
      <c r="D111">
        <v>33</v>
      </c>
      <c r="E111" s="1">
        <v>31836</v>
      </c>
      <c r="F111" s="2">
        <v>44162.423819444448</v>
      </c>
      <c r="G111" t="s">
        <v>30</v>
      </c>
      <c r="H111" s="5">
        <v>1160</v>
      </c>
      <c r="I111" s="6">
        <f t="shared" si="31"/>
        <v>11.717171717171718</v>
      </c>
      <c r="J111" s="6">
        <v>0.93700000000000006</v>
      </c>
      <c r="K111" s="5">
        <v>99</v>
      </c>
      <c r="L111" s="5">
        <v>636</v>
      </c>
      <c r="M111" s="6">
        <f t="shared" si="32"/>
        <v>6.4242424242424239</v>
      </c>
      <c r="N111" s="6">
        <v>0.74399999999999999</v>
      </c>
      <c r="O111" s="5">
        <v>99</v>
      </c>
      <c r="P111"/>
      <c r="Q111" s="5">
        <v>661</v>
      </c>
      <c r="R111" s="6">
        <f t="shared" si="33"/>
        <v>6.6767676767676765</v>
      </c>
      <c r="S111" s="6">
        <v>0.81899999999999995</v>
      </c>
      <c r="T111" s="5">
        <v>99</v>
      </c>
      <c r="U111">
        <v>224</v>
      </c>
      <c r="V111" s="6">
        <f t="shared" si="34"/>
        <v>2.2626262626262625</v>
      </c>
      <c r="W111" s="6">
        <v>0.46500000000000002</v>
      </c>
      <c r="X111" s="5">
        <v>99</v>
      </c>
      <c r="Z111" s="6">
        <f t="shared" si="35"/>
        <v>1.8238993710691827</v>
      </c>
      <c r="AA111" s="6">
        <f t="shared" si="36"/>
        <v>2.9508928571428572</v>
      </c>
      <c r="AB111" s="11">
        <f t="shared" si="37"/>
        <v>0.61790332512315249</v>
      </c>
      <c r="AC111" t="s">
        <v>39</v>
      </c>
      <c r="AE111" t="s">
        <v>421</v>
      </c>
      <c r="AF111" s="4">
        <v>0.37152777777777773</v>
      </c>
      <c r="AG111" s="4">
        <v>0.4375</v>
      </c>
      <c r="AH111" s="4">
        <f t="shared" si="38"/>
        <v>6.5972222222222265E-2</v>
      </c>
      <c r="AI111" s="4">
        <f t="shared" si="30"/>
        <v>0.37152777777777773</v>
      </c>
      <c r="AJ111" s="4">
        <v>0.52083333333333337</v>
      </c>
      <c r="AK111" s="4">
        <f t="shared" si="39"/>
        <v>0.14930555555555564</v>
      </c>
      <c r="AM111" t="b">
        <v>1</v>
      </c>
    </row>
    <row r="112" spans="1:39" x14ac:dyDescent="0.3">
      <c r="A112" s="3" t="s">
        <v>272</v>
      </c>
      <c r="B112" t="s">
        <v>273</v>
      </c>
      <c r="C112" t="s">
        <v>29</v>
      </c>
      <c r="D112">
        <v>50</v>
      </c>
      <c r="E112" s="1">
        <v>25620</v>
      </c>
      <c r="F112" s="2">
        <v>44162.4297337963</v>
      </c>
      <c r="G112" t="s">
        <v>30</v>
      </c>
      <c r="H112" s="5">
        <v>2127</v>
      </c>
      <c r="I112" s="6">
        <f t="shared" si="31"/>
        <v>21.27</v>
      </c>
      <c r="J112" s="6">
        <v>5.0110000000000001</v>
      </c>
      <c r="K112" s="5">
        <v>100</v>
      </c>
      <c r="L112" s="5">
        <v>925</v>
      </c>
      <c r="M112" s="6">
        <f t="shared" si="32"/>
        <v>9.25</v>
      </c>
      <c r="N112" s="6">
        <v>2.8149999999999999</v>
      </c>
      <c r="O112" s="5">
        <v>100</v>
      </c>
      <c r="P112"/>
      <c r="Q112" s="5">
        <v>1436</v>
      </c>
      <c r="R112" s="6">
        <f t="shared" si="33"/>
        <v>14.505050505050505</v>
      </c>
      <c r="S112" s="6">
        <v>3.6349999999999998</v>
      </c>
      <c r="T112" s="5">
        <v>99</v>
      </c>
      <c r="U112">
        <v>372</v>
      </c>
      <c r="V112" s="6">
        <f t="shared" si="34"/>
        <v>3.7575757575757578</v>
      </c>
      <c r="W112" s="6">
        <v>1.7729999999999999</v>
      </c>
      <c r="X112" s="5">
        <v>99</v>
      </c>
      <c r="Z112" s="6">
        <f t="shared" si="35"/>
        <v>2.2994594594594595</v>
      </c>
      <c r="AA112" s="6">
        <f t="shared" si="36"/>
        <v>3.8602150537634405</v>
      </c>
      <c r="AB112" s="11">
        <f t="shared" si="37"/>
        <v>0.67874890678475897</v>
      </c>
      <c r="AC112" t="s">
        <v>31</v>
      </c>
      <c r="AE112" t="s">
        <v>420</v>
      </c>
      <c r="AF112" s="4">
        <v>0.36388888888888887</v>
      </c>
      <c r="AG112" s="4">
        <v>0.4375</v>
      </c>
      <c r="AH112" s="4">
        <f t="shared" si="38"/>
        <v>7.3611111111111127E-2</v>
      </c>
      <c r="AI112" s="4">
        <f t="shared" si="30"/>
        <v>0.36388888888888887</v>
      </c>
      <c r="AJ112" s="4">
        <v>0.52083333333333337</v>
      </c>
      <c r="AK112" s="4">
        <f t="shared" si="39"/>
        <v>0.1569444444444445</v>
      </c>
      <c r="AM112" t="b">
        <v>1</v>
      </c>
    </row>
    <row r="113" spans="1:39" x14ac:dyDescent="0.3">
      <c r="A113" s="3" t="s">
        <v>274</v>
      </c>
      <c r="B113" t="s">
        <v>275</v>
      </c>
      <c r="C113" t="s">
        <v>29</v>
      </c>
      <c r="D113">
        <v>43</v>
      </c>
      <c r="E113" s="1">
        <v>28096</v>
      </c>
      <c r="F113" s="2">
        <v>44165.434340277781</v>
      </c>
      <c r="G113" t="s">
        <v>30</v>
      </c>
      <c r="H113" s="5">
        <v>2261</v>
      </c>
      <c r="I113" s="6">
        <f t="shared" si="31"/>
        <v>22.61</v>
      </c>
      <c r="J113" s="6">
        <v>4.6820000000000004</v>
      </c>
      <c r="K113" s="5">
        <v>100</v>
      </c>
      <c r="L113">
        <v>1224</v>
      </c>
      <c r="M113" s="6">
        <f t="shared" si="32"/>
        <v>12.24</v>
      </c>
      <c r="N113" s="6">
        <v>3.3</v>
      </c>
      <c r="O113">
        <v>100</v>
      </c>
      <c r="P113"/>
      <c r="Q113" s="5">
        <v>1429</v>
      </c>
      <c r="R113" s="6">
        <f t="shared" si="33"/>
        <v>14.29</v>
      </c>
      <c r="S113" s="6">
        <v>4.0359999999999996</v>
      </c>
      <c r="T113" s="5">
        <v>100</v>
      </c>
      <c r="U113">
        <v>452</v>
      </c>
      <c r="V113" s="6">
        <f t="shared" si="34"/>
        <v>4.5199999999999996</v>
      </c>
      <c r="W113" s="6">
        <v>2.468</v>
      </c>
      <c r="X113" s="5">
        <v>100</v>
      </c>
      <c r="Z113" s="6">
        <f t="shared" si="35"/>
        <v>1.8472222222222221</v>
      </c>
      <c r="AA113" s="6">
        <f t="shared" si="36"/>
        <v>3.1615044247787614</v>
      </c>
      <c r="AB113" s="11">
        <f t="shared" si="37"/>
        <v>0.71149111717346492</v>
      </c>
      <c r="AC113" t="s">
        <v>31</v>
      </c>
      <c r="AE113" t="s">
        <v>420</v>
      </c>
      <c r="AF113" s="4">
        <v>0.37986111111111115</v>
      </c>
      <c r="AG113" s="4">
        <v>0.44444444444444442</v>
      </c>
      <c r="AH113" s="4">
        <f t="shared" si="38"/>
        <v>6.458333333333327E-2</v>
      </c>
      <c r="AI113" s="4">
        <f t="shared" si="30"/>
        <v>0.37986111111111115</v>
      </c>
      <c r="AJ113" s="4">
        <v>0.52083333333333337</v>
      </c>
      <c r="AK113" s="4">
        <f t="shared" si="39"/>
        <v>0.14097222222222222</v>
      </c>
      <c r="AM113" t="b">
        <v>1</v>
      </c>
    </row>
    <row r="114" spans="1:39" x14ac:dyDescent="0.3">
      <c r="A114" s="3" t="s">
        <v>281</v>
      </c>
      <c r="B114" t="s">
        <v>282</v>
      </c>
      <c r="C114" t="s">
        <v>52</v>
      </c>
      <c r="D114">
        <v>63</v>
      </c>
      <c r="E114" s="1">
        <v>21039</v>
      </c>
      <c r="F114" s="2">
        <v>44166.413865740738</v>
      </c>
      <c r="G114" t="s">
        <v>30</v>
      </c>
      <c r="H114" s="5">
        <v>2829</v>
      </c>
      <c r="I114" s="6">
        <f t="shared" si="31"/>
        <v>28.575757575757574</v>
      </c>
      <c r="J114" s="6">
        <v>1.6479999999999999</v>
      </c>
      <c r="K114" s="5">
        <v>99</v>
      </c>
      <c r="L114" s="5">
        <v>2296</v>
      </c>
      <c r="M114" s="6">
        <f t="shared" si="32"/>
        <v>23.19191919191919</v>
      </c>
      <c r="N114" s="6">
        <v>1.788</v>
      </c>
      <c r="O114" s="5">
        <v>99</v>
      </c>
      <c r="P114"/>
      <c r="Q114" s="5">
        <v>1951</v>
      </c>
      <c r="R114" s="6">
        <f t="shared" si="33"/>
        <v>19.510000000000002</v>
      </c>
      <c r="S114" s="6">
        <v>1.202</v>
      </c>
      <c r="T114" s="5">
        <v>100</v>
      </c>
      <c r="U114" s="5">
        <v>1021</v>
      </c>
      <c r="V114" s="6">
        <f t="shared" si="34"/>
        <v>10.210000000000001</v>
      </c>
      <c r="W114" s="6">
        <v>0.95699999999999996</v>
      </c>
      <c r="X114" s="5">
        <v>100</v>
      </c>
      <c r="Z114" s="6">
        <f t="shared" si="35"/>
        <v>1.2321428571428572</v>
      </c>
      <c r="AA114" s="6">
        <f t="shared" si="36"/>
        <v>1.9108716944172379</v>
      </c>
      <c r="AB114" s="11">
        <f t="shared" si="37"/>
        <v>0.55085238967196115</v>
      </c>
      <c r="AC114" t="s">
        <v>53</v>
      </c>
      <c r="AE114" s="14" t="s">
        <v>421</v>
      </c>
      <c r="AF114" s="9">
        <v>0.375</v>
      </c>
      <c r="AG114" s="9">
        <v>0.4375</v>
      </c>
      <c r="AH114" s="9">
        <f t="shared" si="38"/>
        <v>6.25E-2</v>
      </c>
      <c r="AI114" s="9">
        <f t="shared" si="30"/>
        <v>0.375</v>
      </c>
      <c r="AJ114" s="9">
        <v>0.51388888888888895</v>
      </c>
      <c r="AK114" s="9">
        <f t="shared" si="39"/>
        <v>0.13888888888888895</v>
      </c>
      <c r="AM114" t="b">
        <v>1</v>
      </c>
    </row>
    <row r="115" spans="1:39" x14ac:dyDescent="0.3">
      <c r="A115" s="3" t="s">
        <v>276</v>
      </c>
      <c r="B115" t="s">
        <v>277</v>
      </c>
      <c r="C115" s="8" t="s">
        <v>52</v>
      </c>
      <c r="D115">
        <v>34</v>
      </c>
      <c r="E115" s="1">
        <v>31492</v>
      </c>
      <c r="F115" s="2">
        <v>44167.439004629632</v>
      </c>
      <c r="G115" t="s">
        <v>278</v>
      </c>
      <c r="H115">
        <v>1544</v>
      </c>
      <c r="I115" s="6">
        <f t="shared" si="31"/>
        <v>15.595959595959595</v>
      </c>
      <c r="J115">
        <v>3.9089999999999998</v>
      </c>
      <c r="K115">
        <v>99</v>
      </c>
      <c r="L115">
        <v>837</v>
      </c>
      <c r="M115" s="6">
        <f t="shared" si="32"/>
        <v>8.454545454545455</v>
      </c>
      <c r="N115" s="6">
        <v>2.6960000000000002</v>
      </c>
      <c r="O115">
        <v>99</v>
      </c>
      <c r="P115"/>
      <c r="Q115">
        <v>965</v>
      </c>
      <c r="R115" s="6">
        <f t="shared" si="33"/>
        <v>9.7474747474747474</v>
      </c>
      <c r="S115" s="6">
        <v>2.84</v>
      </c>
      <c r="T115">
        <v>99</v>
      </c>
      <c r="U115">
        <v>394</v>
      </c>
      <c r="V115" s="6">
        <f t="shared" si="34"/>
        <v>3.9797979797979797</v>
      </c>
      <c r="W115">
        <v>2.1760000000000002</v>
      </c>
      <c r="X115">
        <v>99</v>
      </c>
      <c r="Z115" s="6">
        <f t="shared" si="35"/>
        <v>1.8446833930704896</v>
      </c>
      <c r="AA115" s="6">
        <f t="shared" si="36"/>
        <v>2.4492385786802031</v>
      </c>
      <c r="AB115" s="12">
        <f t="shared" si="37"/>
        <v>0.32772842639593935</v>
      </c>
      <c r="AC115" t="s">
        <v>31</v>
      </c>
      <c r="AE115" t="s">
        <v>421</v>
      </c>
      <c r="AF115" s="9">
        <v>0.375</v>
      </c>
      <c r="AG115" s="9">
        <v>0.44444444444444442</v>
      </c>
      <c r="AH115" s="9">
        <f t="shared" si="38"/>
        <v>6.944444444444442E-2</v>
      </c>
      <c r="AI115" s="9">
        <f t="shared" si="30"/>
        <v>0.375</v>
      </c>
      <c r="AJ115" s="9">
        <v>0.52083333333333337</v>
      </c>
      <c r="AK115" s="9">
        <f t="shared" si="39"/>
        <v>0.14583333333333337</v>
      </c>
      <c r="AM115" t="b">
        <v>1</v>
      </c>
    </row>
    <row r="116" spans="1:39" x14ac:dyDescent="0.3">
      <c r="A116" s="3" t="s">
        <v>279</v>
      </c>
      <c r="B116" t="s">
        <v>280</v>
      </c>
      <c r="C116" t="s">
        <v>52</v>
      </c>
      <c r="D116">
        <v>66</v>
      </c>
      <c r="E116" s="1">
        <v>19824</v>
      </c>
      <c r="F116" s="2">
        <v>44169.421458333331</v>
      </c>
      <c r="G116" t="s">
        <v>30</v>
      </c>
      <c r="H116" s="5">
        <v>3369</v>
      </c>
      <c r="I116" s="6">
        <f t="shared" si="31"/>
        <v>34.030303030303031</v>
      </c>
      <c r="J116" s="6">
        <v>1.6990000000000001</v>
      </c>
      <c r="K116" s="5">
        <v>99</v>
      </c>
      <c r="L116" s="5">
        <v>1839</v>
      </c>
      <c r="M116" s="6">
        <f t="shared" si="32"/>
        <v>18.575757575757574</v>
      </c>
      <c r="N116" s="6">
        <v>1.512</v>
      </c>
      <c r="O116" s="5">
        <v>99</v>
      </c>
      <c r="P116"/>
      <c r="Q116" s="5">
        <v>2425</v>
      </c>
      <c r="R116" s="6">
        <f t="shared" si="33"/>
        <v>24.494949494949495</v>
      </c>
      <c r="S116" s="6">
        <v>1.637</v>
      </c>
      <c r="T116" s="5">
        <v>99</v>
      </c>
      <c r="U116" s="5">
        <v>908</v>
      </c>
      <c r="V116" s="6">
        <f t="shared" si="34"/>
        <v>9.1717171717171713</v>
      </c>
      <c r="W116" s="6">
        <v>1.196</v>
      </c>
      <c r="X116" s="5">
        <v>99</v>
      </c>
      <c r="Z116" s="6">
        <f t="shared" si="35"/>
        <v>1.8319738988580752</v>
      </c>
      <c r="AA116" s="6">
        <f t="shared" si="36"/>
        <v>2.6707048458149782</v>
      </c>
      <c r="AB116" s="11">
        <f t="shared" si="37"/>
        <v>0.45782909215011713</v>
      </c>
      <c r="AC116" t="s">
        <v>53</v>
      </c>
      <c r="AE116" t="s">
        <v>422</v>
      </c>
      <c r="AF116" s="9">
        <v>0.38472222222222219</v>
      </c>
      <c r="AG116" s="9">
        <v>0.4375</v>
      </c>
      <c r="AH116" s="9">
        <f t="shared" si="38"/>
        <v>5.2777777777777812E-2</v>
      </c>
      <c r="AI116" s="9">
        <f t="shared" si="30"/>
        <v>0.38472222222222219</v>
      </c>
      <c r="AJ116" s="9">
        <v>0.51736111111111105</v>
      </c>
      <c r="AK116" s="9">
        <f t="shared" si="39"/>
        <v>0.13263888888888886</v>
      </c>
      <c r="AM116" t="b">
        <v>1</v>
      </c>
    </row>
    <row r="117" spans="1:39" x14ac:dyDescent="0.3">
      <c r="A117" s="3" t="s">
        <v>283</v>
      </c>
      <c r="B117" t="s">
        <v>284</v>
      </c>
      <c r="C117" t="s">
        <v>29</v>
      </c>
      <c r="D117">
        <v>45</v>
      </c>
      <c r="E117" s="1">
        <v>27458</v>
      </c>
      <c r="F117" s="2">
        <v>44169.441342592596</v>
      </c>
      <c r="G117" t="s">
        <v>30</v>
      </c>
      <c r="H117" s="5">
        <v>2425</v>
      </c>
      <c r="I117" s="6">
        <f t="shared" si="31"/>
        <v>24.494949494949495</v>
      </c>
      <c r="J117" s="6">
        <v>5.3</v>
      </c>
      <c r="K117" s="5">
        <v>99</v>
      </c>
      <c r="L117" s="5">
        <v>1504</v>
      </c>
      <c r="M117" s="6">
        <f t="shared" si="32"/>
        <v>15.191919191919192</v>
      </c>
      <c r="N117" s="6">
        <v>3.8959999999999999</v>
      </c>
      <c r="O117" s="5">
        <v>99</v>
      </c>
      <c r="P117"/>
      <c r="Q117" s="5">
        <v>1605</v>
      </c>
      <c r="R117" s="6">
        <f t="shared" si="33"/>
        <v>16.05</v>
      </c>
      <c r="S117" s="6">
        <v>4.2359999999999998</v>
      </c>
      <c r="T117" s="5">
        <v>100</v>
      </c>
      <c r="U117" s="5">
        <v>579</v>
      </c>
      <c r="V117" s="6">
        <f t="shared" si="34"/>
        <v>5.79</v>
      </c>
      <c r="W117" s="7">
        <v>2.4710000000000001</v>
      </c>
      <c r="X117" s="5">
        <v>100</v>
      </c>
      <c r="Z117" s="6">
        <f t="shared" si="35"/>
        <v>1.6123670212765957</v>
      </c>
      <c r="AA117" s="6">
        <f t="shared" si="36"/>
        <v>2.7720207253886011</v>
      </c>
      <c r="AB117" s="11">
        <f t="shared" si="37"/>
        <v>0.71922440040596136</v>
      </c>
      <c r="AC117" t="s">
        <v>31</v>
      </c>
      <c r="AE117" t="s">
        <v>421</v>
      </c>
      <c r="AF117" s="9">
        <v>0.39861111111111108</v>
      </c>
      <c r="AG117" s="9">
        <v>0.44444444444444442</v>
      </c>
      <c r="AH117" s="9">
        <f t="shared" si="38"/>
        <v>4.5833333333333337E-2</v>
      </c>
      <c r="AI117" s="9">
        <f t="shared" si="30"/>
        <v>0.39861111111111108</v>
      </c>
      <c r="AJ117" s="9">
        <v>0.53472222222222221</v>
      </c>
      <c r="AK117" s="9">
        <f t="shared" si="39"/>
        <v>0.13611111111111113</v>
      </c>
      <c r="AM117" t="b">
        <v>1</v>
      </c>
    </row>
    <row r="118" spans="1:39" x14ac:dyDescent="0.3">
      <c r="A118" s="3" t="s">
        <v>285</v>
      </c>
      <c r="B118" t="s">
        <v>286</v>
      </c>
      <c r="C118" t="s">
        <v>29</v>
      </c>
      <c r="D118">
        <v>44</v>
      </c>
      <c r="E118" s="1">
        <v>28058</v>
      </c>
      <c r="F118" s="2">
        <v>44172.421782407408</v>
      </c>
      <c r="G118" t="s">
        <v>30</v>
      </c>
      <c r="H118" s="5">
        <v>3442</v>
      </c>
      <c r="I118" s="6">
        <f t="shared" si="31"/>
        <v>34.42</v>
      </c>
      <c r="J118" s="6">
        <v>5.8360000000000003</v>
      </c>
      <c r="K118" s="5">
        <v>100</v>
      </c>
      <c r="L118" s="5">
        <v>1067</v>
      </c>
      <c r="M118" s="6">
        <f t="shared" si="32"/>
        <v>10.67</v>
      </c>
      <c r="N118" s="6">
        <v>3.6349999999999998</v>
      </c>
      <c r="O118" s="5">
        <v>100</v>
      </c>
      <c r="P118"/>
      <c r="Q118" s="5">
        <v>2536</v>
      </c>
      <c r="R118" s="6">
        <f t="shared" si="33"/>
        <v>25.36</v>
      </c>
      <c r="S118" s="6">
        <v>5.4870000000000001</v>
      </c>
      <c r="T118" s="5">
        <v>100</v>
      </c>
      <c r="U118" s="5">
        <v>412</v>
      </c>
      <c r="V118" s="6">
        <f t="shared" si="34"/>
        <v>4.12</v>
      </c>
      <c r="W118" s="7">
        <v>2.1</v>
      </c>
      <c r="X118" s="5">
        <v>100</v>
      </c>
      <c r="Z118" s="6">
        <f t="shared" si="35"/>
        <v>3.2258669165885663</v>
      </c>
      <c r="AA118" s="6">
        <f t="shared" si="36"/>
        <v>6.1553398058252426</v>
      </c>
      <c r="AB118" s="11">
        <f t="shared" si="37"/>
        <v>0.90811957374071284</v>
      </c>
      <c r="AC118" t="s">
        <v>40</v>
      </c>
      <c r="AE118" t="s">
        <v>421</v>
      </c>
      <c r="AF118" s="9">
        <v>0.37986111111111115</v>
      </c>
      <c r="AG118" s="9">
        <v>0.4375</v>
      </c>
      <c r="AH118" s="9">
        <f t="shared" si="38"/>
        <v>5.7638888888888851E-2</v>
      </c>
      <c r="AI118" s="9">
        <f t="shared" si="30"/>
        <v>0.37986111111111115</v>
      </c>
      <c r="AJ118" s="9">
        <v>0.52083333333333337</v>
      </c>
      <c r="AK118" s="9">
        <f t="shared" si="39"/>
        <v>0.14097222222222222</v>
      </c>
      <c r="AM118" t="b">
        <v>1</v>
      </c>
    </row>
    <row r="119" spans="1:39" x14ac:dyDescent="0.3">
      <c r="A119" s="3" t="s">
        <v>287</v>
      </c>
      <c r="B119" t="s">
        <v>288</v>
      </c>
      <c r="C119" t="s">
        <v>52</v>
      </c>
      <c r="D119">
        <v>53</v>
      </c>
      <c r="E119" s="1">
        <v>24669</v>
      </c>
      <c r="F119" s="2">
        <v>44172.440462962964</v>
      </c>
      <c r="G119" t="s">
        <v>30</v>
      </c>
      <c r="H119" s="5">
        <v>1870</v>
      </c>
      <c r="I119" s="6">
        <f t="shared" si="31"/>
        <v>18.888888888888889</v>
      </c>
      <c r="J119" s="6">
        <v>4.0880000000000001</v>
      </c>
      <c r="K119" s="5">
        <v>99</v>
      </c>
      <c r="L119" s="5">
        <v>972</v>
      </c>
      <c r="M119" s="6">
        <f t="shared" si="32"/>
        <v>9.8181818181818183</v>
      </c>
      <c r="N119" s="6">
        <v>2.89</v>
      </c>
      <c r="O119" s="5">
        <v>99</v>
      </c>
      <c r="P119"/>
      <c r="Q119" s="5">
        <v>1369</v>
      </c>
      <c r="R119" s="6">
        <f t="shared" si="33"/>
        <v>13.828282828282829</v>
      </c>
      <c r="S119" s="6">
        <v>4.1130000000000004</v>
      </c>
      <c r="T119" s="5">
        <v>99</v>
      </c>
      <c r="U119" s="5">
        <v>464</v>
      </c>
      <c r="V119" s="6">
        <f t="shared" si="34"/>
        <v>4.6868686868686869</v>
      </c>
      <c r="W119" s="7">
        <v>2.0190000000000001</v>
      </c>
      <c r="X119" s="5">
        <v>99</v>
      </c>
      <c r="Z119" s="6">
        <f t="shared" si="35"/>
        <v>1.9238683127572016</v>
      </c>
      <c r="AA119" s="6">
        <f t="shared" si="36"/>
        <v>2.9504310344827589</v>
      </c>
      <c r="AB119" s="11">
        <f t="shared" si="37"/>
        <v>0.53359302968836453</v>
      </c>
      <c r="AC119" t="s">
        <v>31</v>
      </c>
      <c r="AE119" t="s">
        <v>421</v>
      </c>
      <c r="AF119" s="9">
        <v>0.37638888888888888</v>
      </c>
      <c r="AG119" s="9">
        <v>0.44444444444444442</v>
      </c>
      <c r="AH119" s="9">
        <f t="shared" si="38"/>
        <v>6.8055555555555536E-2</v>
      </c>
      <c r="AI119" s="9">
        <f t="shared" si="30"/>
        <v>0.37638888888888888</v>
      </c>
      <c r="AJ119" s="9">
        <v>0.52083333333333337</v>
      </c>
      <c r="AK119" s="9">
        <f t="shared" si="39"/>
        <v>0.14444444444444449</v>
      </c>
      <c r="AM119" t="b">
        <v>1</v>
      </c>
    </row>
    <row r="120" spans="1:39" x14ac:dyDescent="0.3">
      <c r="A120" s="3" t="s">
        <v>289</v>
      </c>
      <c r="B120" t="s">
        <v>290</v>
      </c>
      <c r="C120" t="s">
        <v>29</v>
      </c>
      <c r="D120">
        <v>65</v>
      </c>
      <c r="E120" s="1">
        <v>20157</v>
      </c>
      <c r="F120" s="2">
        <v>44173.440682870372</v>
      </c>
      <c r="G120" t="s">
        <v>30</v>
      </c>
      <c r="H120" s="5">
        <v>2544</v>
      </c>
      <c r="I120" s="6">
        <f t="shared" si="31"/>
        <v>25.44</v>
      </c>
      <c r="J120" s="6">
        <v>2.508</v>
      </c>
      <c r="K120" s="5">
        <v>100</v>
      </c>
      <c r="L120" s="5">
        <v>1432</v>
      </c>
      <c r="M120" s="6">
        <f t="shared" si="32"/>
        <v>14.32</v>
      </c>
      <c r="N120" s="6">
        <v>1.6140000000000001</v>
      </c>
      <c r="O120" s="5">
        <v>100</v>
      </c>
      <c r="P120"/>
      <c r="Q120" s="5">
        <v>1919</v>
      </c>
      <c r="R120" s="6">
        <f t="shared" si="33"/>
        <v>19.190000000000001</v>
      </c>
      <c r="S120" s="6">
        <v>1.716</v>
      </c>
      <c r="T120" s="5">
        <v>100</v>
      </c>
      <c r="U120" s="5">
        <v>721</v>
      </c>
      <c r="V120" s="6">
        <f t="shared" si="34"/>
        <v>7.21</v>
      </c>
      <c r="W120" s="6">
        <v>0.95699999999999996</v>
      </c>
      <c r="X120" s="5">
        <v>100</v>
      </c>
      <c r="Z120" s="6">
        <f t="shared" si="35"/>
        <v>1.776536312849162</v>
      </c>
      <c r="AA120" s="6">
        <f t="shared" si="36"/>
        <v>2.6615811373092928</v>
      </c>
      <c r="AB120" s="11">
        <f t="shared" si="37"/>
        <v>0.49818560873699186</v>
      </c>
      <c r="AC120" t="s">
        <v>39</v>
      </c>
      <c r="AE120" t="s">
        <v>422</v>
      </c>
      <c r="AF120" s="9">
        <v>0.39097222222222222</v>
      </c>
      <c r="AG120" s="9">
        <v>0.44444444444444442</v>
      </c>
      <c r="AH120" s="9">
        <f t="shared" si="38"/>
        <v>5.3472222222222199E-2</v>
      </c>
      <c r="AI120" s="9">
        <f t="shared" si="30"/>
        <v>0.39097222222222222</v>
      </c>
      <c r="AJ120" s="9">
        <v>0.52083333333333337</v>
      </c>
      <c r="AK120" s="9">
        <f t="shared" si="39"/>
        <v>0.12986111111111115</v>
      </c>
      <c r="AM120" t="b">
        <v>1</v>
      </c>
    </row>
    <row r="121" spans="1:39" x14ac:dyDescent="0.3">
      <c r="A121" s="3" t="s">
        <v>293</v>
      </c>
      <c r="B121" t="s">
        <v>294</v>
      </c>
      <c r="C121" t="s">
        <v>52</v>
      </c>
      <c r="D121">
        <v>79</v>
      </c>
      <c r="E121" s="1">
        <v>15020</v>
      </c>
      <c r="F121" s="2">
        <v>44175.411064814813</v>
      </c>
      <c r="G121" t="s">
        <v>30</v>
      </c>
      <c r="H121" s="5">
        <v>3185</v>
      </c>
      <c r="I121" s="6">
        <f t="shared" si="31"/>
        <v>32.171717171717169</v>
      </c>
      <c r="J121" s="6">
        <v>6.0579999999999998</v>
      </c>
      <c r="K121" s="5">
        <v>99</v>
      </c>
      <c r="L121" s="5">
        <v>2284</v>
      </c>
      <c r="M121" s="6">
        <f t="shared" si="32"/>
        <v>23.070707070707069</v>
      </c>
      <c r="N121" s="6">
        <v>4.9720000000000004</v>
      </c>
      <c r="O121" s="5">
        <v>99</v>
      </c>
      <c r="P121"/>
      <c r="Q121" s="5">
        <v>2194</v>
      </c>
      <c r="R121" s="6">
        <f t="shared" si="33"/>
        <v>22.161616161616163</v>
      </c>
      <c r="S121" s="6">
        <v>4.5730000000000004</v>
      </c>
      <c r="T121" s="5">
        <v>99</v>
      </c>
      <c r="U121" s="5">
        <v>970</v>
      </c>
      <c r="V121" s="6">
        <f t="shared" si="34"/>
        <v>9.7979797979797976</v>
      </c>
      <c r="W121" s="6">
        <v>3.1819999999999999</v>
      </c>
      <c r="X121" s="5">
        <v>99</v>
      </c>
      <c r="Z121" s="6">
        <f t="shared" si="35"/>
        <v>1.3944833625218913</v>
      </c>
      <c r="AA121" s="6">
        <f t="shared" si="36"/>
        <v>2.2618556701030932</v>
      </c>
      <c r="AB121" s="11">
        <f t="shared" si="37"/>
        <v>0.62200262182589172</v>
      </c>
      <c r="AC121" t="s">
        <v>40</v>
      </c>
      <c r="AE121" t="s">
        <v>422</v>
      </c>
      <c r="AF121" s="9">
        <v>0.38194444444444442</v>
      </c>
      <c r="AG121" s="9">
        <v>0.44444444444444442</v>
      </c>
      <c r="AH121" s="9">
        <f t="shared" si="38"/>
        <v>6.25E-2</v>
      </c>
      <c r="AI121" s="9">
        <f t="shared" si="30"/>
        <v>0.38194444444444442</v>
      </c>
      <c r="AJ121" s="9">
        <v>0.52083333333333337</v>
      </c>
      <c r="AK121" s="9">
        <f t="shared" si="39"/>
        <v>0.13888888888888895</v>
      </c>
      <c r="AM121" t="b">
        <v>1</v>
      </c>
    </row>
    <row r="122" spans="1:39" x14ac:dyDescent="0.3">
      <c r="A122" s="3" t="s">
        <v>291</v>
      </c>
      <c r="B122" t="s">
        <v>292</v>
      </c>
      <c r="C122" t="s">
        <v>29</v>
      </c>
      <c r="D122">
        <v>53</v>
      </c>
      <c r="E122" s="1">
        <v>24656</v>
      </c>
      <c r="F122" s="2">
        <v>44175.441724537035</v>
      </c>
      <c r="G122" t="s">
        <v>30</v>
      </c>
      <c r="H122" s="5">
        <v>1706</v>
      </c>
      <c r="I122" s="6">
        <f t="shared" si="31"/>
        <v>17.059999999999999</v>
      </c>
      <c r="J122" s="6">
        <v>4.5960000000000001</v>
      </c>
      <c r="K122" s="5">
        <v>100</v>
      </c>
      <c r="L122" s="5">
        <v>849</v>
      </c>
      <c r="M122" s="6">
        <f t="shared" si="32"/>
        <v>8.49</v>
      </c>
      <c r="N122" s="6">
        <v>2.9390000000000001</v>
      </c>
      <c r="O122" s="5">
        <v>100</v>
      </c>
      <c r="P122"/>
      <c r="Q122" s="5">
        <v>1193</v>
      </c>
      <c r="R122" s="6">
        <f t="shared" si="33"/>
        <v>11.93</v>
      </c>
      <c r="S122" s="6">
        <v>3.5139999999999998</v>
      </c>
      <c r="T122" s="5">
        <v>100</v>
      </c>
      <c r="U122" s="5">
        <v>429</v>
      </c>
      <c r="V122" s="6">
        <f t="shared" si="34"/>
        <v>4.29</v>
      </c>
      <c r="W122" s="6">
        <v>2.0760000000000001</v>
      </c>
      <c r="X122" s="5">
        <v>100</v>
      </c>
      <c r="Z122" s="6">
        <f t="shared" si="35"/>
        <v>2.0094228504122493</v>
      </c>
      <c r="AA122" s="6">
        <f t="shared" si="36"/>
        <v>2.780885780885781</v>
      </c>
      <c r="AB122" s="11">
        <f t="shared" si="37"/>
        <v>0.38392264242205654</v>
      </c>
      <c r="AC122" t="s">
        <v>31</v>
      </c>
      <c r="AE122" t="s">
        <v>422</v>
      </c>
      <c r="AF122" s="9">
        <v>0.37152777777777773</v>
      </c>
      <c r="AG122" s="9">
        <v>0.44444444444444442</v>
      </c>
      <c r="AH122" s="9">
        <f t="shared" si="38"/>
        <v>7.2916666666666685E-2</v>
      </c>
      <c r="AI122" s="9">
        <f t="shared" si="30"/>
        <v>0.37152777777777773</v>
      </c>
      <c r="AJ122" s="9">
        <v>0.51736111111111105</v>
      </c>
      <c r="AK122" s="9">
        <f t="shared" si="39"/>
        <v>0.14583333333333331</v>
      </c>
      <c r="AM122" t="b">
        <v>1</v>
      </c>
    </row>
    <row r="123" spans="1:39" x14ac:dyDescent="0.3">
      <c r="A123" s="3" t="s">
        <v>299</v>
      </c>
      <c r="B123" t="s">
        <v>300</v>
      </c>
      <c r="C123" t="s">
        <v>52</v>
      </c>
      <c r="D123">
        <v>65</v>
      </c>
      <c r="E123" s="1">
        <v>20347</v>
      </c>
      <c r="F123" s="2">
        <v>44176.436736111114</v>
      </c>
      <c r="G123" t="s">
        <v>30</v>
      </c>
      <c r="H123" s="5">
        <v>2245</v>
      </c>
      <c r="I123" s="6">
        <f t="shared" si="31"/>
        <v>22.676767676767678</v>
      </c>
      <c r="J123" s="6">
        <v>5.3369999999999997</v>
      </c>
      <c r="K123" s="5">
        <v>99</v>
      </c>
      <c r="L123" s="5">
        <v>1357</v>
      </c>
      <c r="M123" s="6">
        <f t="shared" si="32"/>
        <v>13.707070707070708</v>
      </c>
      <c r="N123" s="6">
        <v>3.6150000000000002</v>
      </c>
      <c r="O123" s="5">
        <v>99</v>
      </c>
      <c r="P123"/>
      <c r="Q123" s="5">
        <v>1845</v>
      </c>
      <c r="R123" s="6">
        <f t="shared" si="33"/>
        <v>18.636363636363637</v>
      </c>
      <c r="S123" s="6">
        <v>4.6349999999999998</v>
      </c>
      <c r="T123" s="5">
        <v>99</v>
      </c>
      <c r="U123" s="5">
        <v>649</v>
      </c>
      <c r="V123" s="6">
        <f t="shared" si="34"/>
        <v>6.5555555555555554</v>
      </c>
      <c r="W123" s="6">
        <v>2.677</v>
      </c>
      <c r="X123" s="5">
        <v>99</v>
      </c>
      <c r="Z123" s="6">
        <f t="shared" si="35"/>
        <v>1.6543846720707442</v>
      </c>
      <c r="AA123" s="6">
        <f t="shared" si="36"/>
        <v>2.8428351309707245</v>
      </c>
      <c r="AB123" s="11">
        <f t="shared" si="37"/>
        <v>0.71836404130390785</v>
      </c>
      <c r="AC123" t="s">
        <v>31</v>
      </c>
      <c r="AE123" t="s">
        <v>423</v>
      </c>
      <c r="AF123" s="9">
        <v>0.38194444444444442</v>
      </c>
      <c r="AG123" s="9">
        <v>0.4375</v>
      </c>
      <c r="AH123" s="9">
        <f t="shared" si="38"/>
        <v>5.555555555555558E-2</v>
      </c>
      <c r="AI123" s="9">
        <f t="shared" si="30"/>
        <v>0.38194444444444442</v>
      </c>
      <c r="AJ123" s="9">
        <v>0.52083333333333337</v>
      </c>
      <c r="AK123" s="9">
        <f t="shared" si="39"/>
        <v>0.13888888888888895</v>
      </c>
      <c r="AM123" t="b">
        <v>1</v>
      </c>
    </row>
    <row r="124" spans="1:39" x14ac:dyDescent="0.3">
      <c r="A124" s="3" t="s">
        <v>295</v>
      </c>
      <c r="B124" t="s">
        <v>296</v>
      </c>
      <c r="C124" t="s">
        <v>29</v>
      </c>
      <c r="D124">
        <v>39</v>
      </c>
      <c r="E124" s="1">
        <v>29614</v>
      </c>
      <c r="F124" s="2">
        <v>44176.437939814816</v>
      </c>
      <c r="G124" t="s">
        <v>30</v>
      </c>
      <c r="H124" s="5">
        <v>1890</v>
      </c>
      <c r="I124" s="6">
        <f t="shared" si="31"/>
        <v>18.899999999999999</v>
      </c>
      <c r="J124" s="6">
        <v>2.0030000000000001</v>
      </c>
      <c r="K124" s="5">
        <v>100</v>
      </c>
      <c r="L124" s="5">
        <v>705</v>
      </c>
      <c r="M124" s="6">
        <f t="shared" si="32"/>
        <v>7.05</v>
      </c>
      <c r="N124" s="6">
        <v>1.1140000000000001</v>
      </c>
      <c r="O124" s="5">
        <v>100</v>
      </c>
      <c r="P124"/>
      <c r="Q124" s="5">
        <v>1476</v>
      </c>
      <c r="R124" s="6">
        <f t="shared" si="33"/>
        <v>14.909090909090908</v>
      </c>
      <c r="S124" s="6">
        <v>1.667</v>
      </c>
      <c r="T124" s="5">
        <v>99</v>
      </c>
      <c r="U124" s="5">
        <v>329</v>
      </c>
      <c r="V124" s="6">
        <f t="shared" si="34"/>
        <v>3.3232323232323231</v>
      </c>
      <c r="W124" s="7">
        <v>0.72599999999999998</v>
      </c>
      <c r="X124" s="5">
        <v>99</v>
      </c>
      <c r="Z124" s="6">
        <f t="shared" si="35"/>
        <v>2.6808510638297869</v>
      </c>
      <c r="AA124" s="6">
        <f t="shared" si="36"/>
        <v>4.4863221884498481</v>
      </c>
      <c r="AB124" s="11">
        <f t="shared" si="37"/>
        <v>0.67346938775510223</v>
      </c>
      <c r="AC124" t="s">
        <v>39</v>
      </c>
      <c r="AE124" t="s">
        <v>424</v>
      </c>
      <c r="AF124" s="9">
        <v>0.38680555555555557</v>
      </c>
      <c r="AG124" s="9">
        <v>0.44444444444444442</v>
      </c>
      <c r="AH124" s="9">
        <f t="shared" si="38"/>
        <v>5.7638888888888851E-2</v>
      </c>
      <c r="AI124" s="9">
        <f t="shared" si="30"/>
        <v>0.38680555555555557</v>
      </c>
      <c r="AJ124" s="9">
        <v>0.51736111111111105</v>
      </c>
      <c r="AK124" s="9">
        <f t="shared" si="39"/>
        <v>0.13055555555555548</v>
      </c>
      <c r="AM124" t="b">
        <v>1</v>
      </c>
    </row>
    <row r="125" spans="1:39" x14ac:dyDescent="0.3">
      <c r="A125" s="3" t="s">
        <v>297</v>
      </c>
      <c r="B125" t="s">
        <v>298</v>
      </c>
      <c r="C125" t="s">
        <v>29</v>
      </c>
      <c r="D125">
        <v>73</v>
      </c>
      <c r="E125" s="1">
        <v>17488</v>
      </c>
      <c r="F125" s="2">
        <v>44176.440879629627</v>
      </c>
      <c r="G125" t="s">
        <v>30</v>
      </c>
      <c r="H125" s="5">
        <v>5377</v>
      </c>
      <c r="I125" s="6">
        <f t="shared" si="31"/>
        <v>53.77</v>
      </c>
      <c r="J125" s="6">
        <v>9.9060000000000006</v>
      </c>
      <c r="K125" s="5">
        <v>100</v>
      </c>
      <c r="L125" s="5">
        <v>1931</v>
      </c>
      <c r="M125" s="6">
        <f t="shared" si="32"/>
        <v>19.309999999999999</v>
      </c>
      <c r="N125" s="6">
        <v>4.5209999999999999</v>
      </c>
      <c r="O125" s="5">
        <v>100</v>
      </c>
      <c r="P125"/>
      <c r="Q125" s="5">
        <v>3521</v>
      </c>
      <c r="R125" s="6">
        <f t="shared" si="33"/>
        <v>35.565656565656568</v>
      </c>
      <c r="S125" s="6">
        <v>6.048</v>
      </c>
      <c r="T125" s="5">
        <v>99</v>
      </c>
      <c r="U125" s="5">
        <v>768</v>
      </c>
      <c r="V125" s="6">
        <f t="shared" si="34"/>
        <v>7.7575757575757578</v>
      </c>
      <c r="W125" s="7">
        <v>2.5760000000000001</v>
      </c>
      <c r="X125" s="5">
        <v>99</v>
      </c>
      <c r="Z125" s="6">
        <f t="shared" si="35"/>
        <v>2.784567581563957</v>
      </c>
      <c r="AA125" s="6">
        <f t="shared" si="36"/>
        <v>4.584635416666667</v>
      </c>
      <c r="AB125" s="11">
        <f t="shared" si="37"/>
        <v>0.64644429785816115</v>
      </c>
      <c r="AC125" t="s">
        <v>40</v>
      </c>
      <c r="AE125" t="s">
        <v>423</v>
      </c>
      <c r="AF125" s="9">
        <v>0.39027777777777778</v>
      </c>
      <c r="AG125" s="9">
        <v>0.44444444444444442</v>
      </c>
      <c r="AH125" s="9">
        <f t="shared" si="38"/>
        <v>5.4166666666666641E-2</v>
      </c>
      <c r="AI125" s="9">
        <f t="shared" si="30"/>
        <v>0.39027777777777778</v>
      </c>
      <c r="AJ125" s="9">
        <v>0.52083333333333337</v>
      </c>
      <c r="AK125" s="9">
        <f t="shared" si="39"/>
        <v>0.13055555555555559</v>
      </c>
      <c r="AM125" t="b">
        <v>1</v>
      </c>
    </row>
    <row r="126" spans="1:39" x14ac:dyDescent="0.3">
      <c r="A126" s="3" t="s">
        <v>303</v>
      </c>
      <c r="B126" t="s">
        <v>304</v>
      </c>
      <c r="C126" t="s">
        <v>52</v>
      </c>
      <c r="D126">
        <v>77</v>
      </c>
      <c r="E126" s="1">
        <v>15850</v>
      </c>
      <c r="F126" s="2">
        <v>44180.415798611109</v>
      </c>
      <c r="G126" t="s">
        <v>30</v>
      </c>
      <c r="H126" s="5">
        <v>3196</v>
      </c>
      <c r="I126" s="6">
        <f t="shared" si="31"/>
        <v>31.96</v>
      </c>
      <c r="J126" s="6">
        <v>5.9470000000000001</v>
      </c>
      <c r="K126" s="5">
        <v>100</v>
      </c>
      <c r="L126" s="5">
        <v>1824</v>
      </c>
      <c r="M126" s="6">
        <f t="shared" si="32"/>
        <v>18.239999999999998</v>
      </c>
      <c r="N126" s="6">
        <v>4.07</v>
      </c>
      <c r="O126" s="5">
        <v>100</v>
      </c>
      <c r="P126"/>
      <c r="Q126" s="5">
        <v>2230</v>
      </c>
      <c r="R126" s="6">
        <f t="shared" si="33"/>
        <v>22.525252525252526</v>
      </c>
      <c r="S126" s="6">
        <v>4.4320000000000004</v>
      </c>
      <c r="T126" s="5">
        <v>99</v>
      </c>
      <c r="U126" s="5">
        <v>873</v>
      </c>
      <c r="V126" s="6">
        <f t="shared" si="34"/>
        <v>8.8181818181818183</v>
      </c>
      <c r="W126" s="6">
        <v>3.2589999999999999</v>
      </c>
      <c r="X126" s="5">
        <v>99</v>
      </c>
      <c r="Z126" s="6">
        <f t="shared" si="35"/>
        <v>1.7521929824561406</v>
      </c>
      <c r="AA126" s="6">
        <f t="shared" si="36"/>
        <v>2.5544100801832763</v>
      </c>
      <c r="AB126" s="11">
        <f t="shared" si="37"/>
        <v>0.45783604075541151</v>
      </c>
      <c r="AC126" t="s">
        <v>40</v>
      </c>
      <c r="AE126" t="s">
        <v>425</v>
      </c>
      <c r="AF126" s="9">
        <v>0.37361111111111112</v>
      </c>
      <c r="AG126" s="9">
        <v>0.4375</v>
      </c>
      <c r="AH126" s="9">
        <f t="shared" si="38"/>
        <v>6.3888888888888884E-2</v>
      </c>
      <c r="AI126" s="9">
        <f t="shared" si="30"/>
        <v>0.37361111111111112</v>
      </c>
      <c r="AJ126" s="9">
        <v>0.52083333333333337</v>
      </c>
      <c r="AK126" s="9">
        <f t="shared" si="39"/>
        <v>0.14722222222222225</v>
      </c>
      <c r="AM126" t="b">
        <v>1</v>
      </c>
    </row>
    <row r="127" spans="1:39" x14ac:dyDescent="0.3">
      <c r="A127" s="3" t="s">
        <v>301</v>
      </c>
      <c r="B127" t="s">
        <v>302</v>
      </c>
      <c r="C127" t="s">
        <v>29</v>
      </c>
      <c r="D127">
        <v>49</v>
      </c>
      <c r="E127" s="1">
        <v>26031</v>
      </c>
      <c r="F127" s="2">
        <v>44180.429016203707</v>
      </c>
      <c r="G127" t="s">
        <v>30</v>
      </c>
      <c r="H127" s="5">
        <v>1578</v>
      </c>
      <c r="I127" s="6">
        <f t="shared" si="31"/>
        <v>15.939393939393939</v>
      </c>
      <c r="J127" s="6">
        <v>1.0580000000000001</v>
      </c>
      <c r="K127" s="5">
        <v>99</v>
      </c>
      <c r="L127" s="5">
        <v>914</v>
      </c>
      <c r="M127" s="6">
        <f t="shared" si="32"/>
        <v>9.2323232323232318</v>
      </c>
      <c r="N127" s="6">
        <v>1.048</v>
      </c>
      <c r="O127" s="5">
        <v>99</v>
      </c>
      <c r="P127"/>
      <c r="Q127" s="5">
        <v>965</v>
      </c>
      <c r="R127" s="6">
        <f t="shared" si="33"/>
        <v>9.7474747474747474</v>
      </c>
      <c r="S127" s="6">
        <v>1.0029999999999999</v>
      </c>
      <c r="T127" s="5">
        <v>99</v>
      </c>
      <c r="U127" s="5">
        <v>385</v>
      </c>
      <c r="V127" s="6">
        <f t="shared" si="34"/>
        <v>3.8888888888888888</v>
      </c>
      <c r="W127" s="6">
        <v>0.68300000000000005</v>
      </c>
      <c r="X127" s="5">
        <v>99</v>
      </c>
      <c r="Z127" s="6">
        <f t="shared" si="35"/>
        <v>1.726477024070022</v>
      </c>
      <c r="AA127" s="6">
        <f t="shared" si="36"/>
        <v>2.5064935064935066</v>
      </c>
      <c r="AB127" s="11">
        <f t="shared" si="37"/>
        <v>0.45179661909699925</v>
      </c>
      <c r="AC127" t="s">
        <v>39</v>
      </c>
      <c r="AE127" t="s">
        <v>424</v>
      </c>
      <c r="AF127" s="9">
        <v>0.37708333333333338</v>
      </c>
      <c r="AG127" s="9">
        <v>0.4375</v>
      </c>
      <c r="AH127" s="9">
        <f t="shared" si="38"/>
        <v>6.0416666666666619E-2</v>
      </c>
      <c r="AI127" s="9">
        <f t="shared" ref="AI127:AI139" si="40">AF127</f>
        <v>0.37708333333333338</v>
      </c>
      <c r="AJ127" s="9">
        <v>0.52083333333333337</v>
      </c>
      <c r="AK127" s="9">
        <f t="shared" si="39"/>
        <v>0.14374999999999999</v>
      </c>
      <c r="AM127" t="b">
        <v>1</v>
      </c>
    </row>
    <row r="128" spans="1:39" x14ac:dyDescent="0.3">
      <c r="A128" s="3" t="s">
        <v>305</v>
      </c>
      <c r="B128" t="s">
        <v>306</v>
      </c>
      <c r="C128" t="s">
        <v>52</v>
      </c>
      <c r="D128">
        <v>79</v>
      </c>
      <c r="E128" s="1">
        <v>15290</v>
      </c>
      <c r="F128" s="2">
        <v>44180.447268518517</v>
      </c>
      <c r="G128" t="s">
        <v>30</v>
      </c>
      <c r="H128" s="5">
        <v>2120</v>
      </c>
      <c r="I128" s="6">
        <f t="shared" si="31"/>
        <v>21.414141414141415</v>
      </c>
      <c r="J128" s="6">
        <v>4.5780000000000003</v>
      </c>
      <c r="K128" s="5">
        <v>99</v>
      </c>
      <c r="L128" s="5">
        <v>1431</v>
      </c>
      <c r="M128" s="6">
        <f t="shared" si="32"/>
        <v>14.454545454545455</v>
      </c>
      <c r="N128" s="6">
        <v>3.8210000000000002</v>
      </c>
      <c r="O128" s="5">
        <v>99</v>
      </c>
      <c r="P128"/>
      <c r="Q128" s="5">
        <v>1641</v>
      </c>
      <c r="R128" s="6">
        <f t="shared" si="33"/>
        <v>16.575757575757574</v>
      </c>
      <c r="S128" s="6">
        <v>4.2309999999999999</v>
      </c>
      <c r="T128" s="5">
        <v>99</v>
      </c>
      <c r="U128" s="5">
        <v>713</v>
      </c>
      <c r="V128" s="6">
        <f t="shared" si="34"/>
        <v>7.2020202020202024</v>
      </c>
      <c r="W128" s="6">
        <v>2.669</v>
      </c>
      <c r="X128" s="5">
        <v>99</v>
      </c>
      <c r="Z128" s="6">
        <f t="shared" si="35"/>
        <v>1.4814814814814814</v>
      </c>
      <c r="AA128" s="6">
        <f t="shared" si="36"/>
        <v>2.301542776998597</v>
      </c>
      <c r="AB128" s="11">
        <f t="shared" si="37"/>
        <v>0.55354137447405305</v>
      </c>
      <c r="AC128" t="s">
        <v>31</v>
      </c>
      <c r="AE128" t="s">
        <v>423</v>
      </c>
      <c r="AF128" s="9">
        <v>0.39444444444444443</v>
      </c>
      <c r="AG128" s="9">
        <v>0.44444444444444442</v>
      </c>
      <c r="AH128" s="9">
        <f t="shared" si="38"/>
        <v>4.9999999999999989E-2</v>
      </c>
      <c r="AI128" s="9">
        <f t="shared" si="40"/>
        <v>0.39444444444444443</v>
      </c>
      <c r="AJ128" s="9">
        <v>0.52083333333333337</v>
      </c>
      <c r="AK128" s="9">
        <f t="shared" si="39"/>
        <v>0.12638888888888894</v>
      </c>
      <c r="AM128" t="b">
        <v>1</v>
      </c>
    </row>
    <row r="129" spans="1:39" x14ac:dyDescent="0.3">
      <c r="A129" s="3" t="s">
        <v>307</v>
      </c>
      <c r="B129" t="s">
        <v>308</v>
      </c>
      <c r="C129" t="s">
        <v>29</v>
      </c>
      <c r="D129">
        <v>63</v>
      </c>
      <c r="E129" s="1">
        <v>20934</v>
      </c>
      <c r="F129" s="2">
        <v>44181.410451388889</v>
      </c>
      <c r="G129" t="s">
        <v>30</v>
      </c>
      <c r="H129" s="5">
        <v>3689</v>
      </c>
      <c r="I129" s="6">
        <f t="shared" si="31"/>
        <v>37.262626262626263</v>
      </c>
      <c r="J129" s="6">
        <v>6.0149999999999997</v>
      </c>
      <c r="K129" s="5">
        <v>99</v>
      </c>
      <c r="L129" s="5">
        <v>1748</v>
      </c>
      <c r="M129" s="6">
        <f t="shared" si="32"/>
        <v>17.656565656565657</v>
      </c>
      <c r="N129" s="6">
        <v>4.7149999999999999</v>
      </c>
      <c r="O129" s="5">
        <v>99</v>
      </c>
      <c r="P129"/>
      <c r="Q129" s="5">
        <v>2790</v>
      </c>
      <c r="R129" s="6">
        <f t="shared" si="33"/>
        <v>27.9</v>
      </c>
      <c r="S129" s="6">
        <v>5.3959999999999999</v>
      </c>
      <c r="T129" s="5">
        <v>100</v>
      </c>
      <c r="U129" s="5">
        <v>823</v>
      </c>
      <c r="V129" s="6">
        <f t="shared" si="34"/>
        <v>8.23</v>
      </c>
      <c r="W129" s="6">
        <v>3.097</v>
      </c>
      <c r="X129" s="5">
        <v>100</v>
      </c>
      <c r="Z129" s="6">
        <f t="shared" si="35"/>
        <v>2.110411899313501</v>
      </c>
      <c r="AA129" s="6">
        <f t="shared" si="36"/>
        <v>3.39003645200486</v>
      </c>
      <c r="AB129" s="11">
        <f t="shared" si="37"/>
        <v>0.6063387688003512</v>
      </c>
      <c r="AC129" t="s">
        <v>40</v>
      </c>
      <c r="AE129" t="s">
        <v>423</v>
      </c>
      <c r="AF129" s="9">
        <v>0.39027777777777778</v>
      </c>
      <c r="AG129" s="9">
        <v>0.4375</v>
      </c>
      <c r="AH129" s="9">
        <f t="shared" si="38"/>
        <v>4.7222222222222221E-2</v>
      </c>
      <c r="AI129" s="9">
        <f t="shared" si="40"/>
        <v>0.39027777777777778</v>
      </c>
      <c r="AJ129" s="9">
        <v>0.52083333333333337</v>
      </c>
      <c r="AK129" s="9">
        <f t="shared" si="39"/>
        <v>0.13055555555555559</v>
      </c>
      <c r="AM129" t="b">
        <v>1</v>
      </c>
    </row>
    <row r="130" spans="1:39" x14ac:dyDescent="0.3">
      <c r="A130" s="3" t="s">
        <v>309</v>
      </c>
      <c r="B130" t="s">
        <v>310</v>
      </c>
      <c r="C130" t="s">
        <v>29</v>
      </c>
      <c r="D130">
        <v>66</v>
      </c>
      <c r="E130" s="1">
        <v>19977</v>
      </c>
      <c r="F130" s="2">
        <v>44182.438993055555</v>
      </c>
      <c r="G130" t="s">
        <v>30</v>
      </c>
      <c r="H130" s="5">
        <v>2707</v>
      </c>
      <c r="I130" s="6">
        <f t="shared" ref="I130:I139" si="41">H130/K130</f>
        <v>27.07</v>
      </c>
      <c r="J130" s="6">
        <v>5.4390000000000001</v>
      </c>
      <c r="K130" s="5">
        <v>100</v>
      </c>
      <c r="L130" s="5">
        <v>1511</v>
      </c>
      <c r="M130" s="6">
        <f t="shared" ref="M130:M139" si="42">L130/O130</f>
        <v>15.11</v>
      </c>
      <c r="N130" s="6">
        <v>4.327</v>
      </c>
      <c r="O130" s="5">
        <v>100</v>
      </c>
      <c r="P130"/>
      <c r="Q130" s="5">
        <v>1795</v>
      </c>
      <c r="R130" s="6">
        <f t="shared" ref="R130:R139" si="43">Q130/T130</f>
        <v>18.131313131313131</v>
      </c>
      <c r="S130" s="6">
        <v>4.7140000000000004</v>
      </c>
      <c r="T130" s="5">
        <v>99</v>
      </c>
      <c r="U130" s="5">
        <v>522</v>
      </c>
      <c r="V130" s="6">
        <f t="shared" ref="V130:V139" si="44">U130/X130</f>
        <v>5.2727272727272725</v>
      </c>
      <c r="W130" s="6">
        <v>2.2890000000000001</v>
      </c>
      <c r="X130" s="5">
        <v>99</v>
      </c>
      <c r="Z130" s="6">
        <f t="shared" ref="Z130:Z139" si="45">I130/M130</f>
        <v>1.7915287888815354</v>
      </c>
      <c r="AA130" s="6">
        <f t="shared" ref="AA130:AA139" si="46">R130/V130</f>
        <v>3.4386973180076632</v>
      </c>
      <c r="AB130" s="11">
        <f t="shared" ref="AB130:AB139" si="47">(AA130-Z130)/Z130</f>
        <v>0.91942063077561098</v>
      </c>
      <c r="AC130" t="s">
        <v>31</v>
      </c>
      <c r="AE130" t="s">
        <v>425</v>
      </c>
      <c r="AF130" s="9">
        <v>0.38055555555555554</v>
      </c>
      <c r="AG130" s="9">
        <v>0.44444444444444442</v>
      </c>
      <c r="AH130" s="9">
        <f t="shared" ref="AH130:AH139" si="48">AG130-AF130</f>
        <v>6.3888888888888884E-2</v>
      </c>
      <c r="AI130" s="9">
        <f t="shared" si="40"/>
        <v>0.38055555555555554</v>
      </c>
      <c r="AJ130" s="9">
        <v>0.52083333333333337</v>
      </c>
      <c r="AK130" s="9">
        <f t="shared" ref="AK130:AK139" si="49">AJ130-AI130</f>
        <v>0.14027777777777783</v>
      </c>
      <c r="AM130" t="b">
        <v>1</v>
      </c>
    </row>
    <row r="131" spans="1:39" x14ac:dyDescent="0.3">
      <c r="A131" s="3" t="s">
        <v>311</v>
      </c>
      <c r="B131" t="s">
        <v>312</v>
      </c>
      <c r="C131" t="s">
        <v>52</v>
      </c>
      <c r="D131">
        <v>60</v>
      </c>
      <c r="E131" s="1">
        <v>21928</v>
      </c>
      <c r="F131" s="2">
        <v>44186.402268518519</v>
      </c>
      <c r="G131" t="s">
        <v>30</v>
      </c>
      <c r="H131" s="5">
        <v>4464</v>
      </c>
      <c r="I131" s="6">
        <f t="shared" si="41"/>
        <v>45.090909090909093</v>
      </c>
      <c r="J131" s="6">
        <v>7.0960000000000001</v>
      </c>
      <c r="K131" s="5">
        <v>99</v>
      </c>
      <c r="L131" s="5">
        <v>2539</v>
      </c>
      <c r="M131" s="6">
        <f t="shared" si="42"/>
        <v>25.646464646464647</v>
      </c>
      <c r="N131" s="6">
        <v>5.6829999999999998</v>
      </c>
      <c r="O131" s="5">
        <v>99</v>
      </c>
      <c r="P131"/>
      <c r="Q131" s="5">
        <v>3534</v>
      </c>
      <c r="R131" s="6">
        <f t="shared" si="43"/>
        <v>35.340000000000003</v>
      </c>
      <c r="S131" s="6">
        <v>5.7190000000000003</v>
      </c>
      <c r="T131" s="5">
        <v>100</v>
      </c>
      <c r="U131" s="5">
        <v>1180</v>
      </c>
      <c r="V131" s="6">
        <f t="shared" si="44"/>
        <v>11.8</v>
      </c>
      <c r="W131" s="6">
        <v>3.363</v>
      </c>
      <c r="X131" s="5">
        <v>100</v>
      </c>
      <c r="Z131" s="6">
        <f t="shared" si="45"/>
        <v>1.7581725088617566</v>
      </c>
      <c r="AA131" s="6">
        <f t="shared" si="46"/>
        <v>2.9949152542372883</v>
      </c>
      <c r="AB131" s="11">
        <f t="shared" si="47"/>
        <v>0.70342514124293798</v>
      </c>
      <c r="AC131" t="s">
        <v>40</v>
      </c>
      <c r="AE131" t="s">
        <v>424</v>
      </c>
      <c r="AF131" s="9">
        <v>0.38472222222222219</v>
      </c>
      <c r="AG131" s="9">
        <v>0.4375</v>
      </c>
      <c r="AH131" s="9">
        <f t="shared" si="48"/>
        <v>5.2777777777777812E-2</v>
      </c>
      <c r="AI131" s="9">
        <f t="shared" si="40"/>
        <v>0.38472222222222219</v>
      </c>
      <c r="AJ131" s="9">
        <v>0.51944444444444449</v>
      </c>
      <c r="AK131" s="9">
        <f t="shared" si="49"/>
        <v>0.1347222222222223</v>
      </c>
      <c r="AM131" t="b">
        <v>1</v>
      </c>
    </row>
    <row r="132" spans="1:39" x14ac:dyDescent="0.3">
      <c r="A132" s="3" t="s">
        <v>313</v>
      </c>
      <c r="B132" t="s">
        <v>314</v>
      </c>
      <c r="C132" t="s">
        <v>29</v>
      </c>
      <c r="D132">
        <v>74</v>
      </c>
      <c r="E132" s="1">
        <v>17082</v>
      </c>
      <c r="F132" s="2">
        <v>44186.438101851854</v>
      </c>
      <c r="G132" t="s">
        <v>30</v>
      </c>
      <c r="H132" s="5">
        <v>3003</v>
      </c>
      <c r="I132" s="6">
        <f t="shared" si="41"/>
        <v>30.03</v>
      </c>
      <c r="J132" s="6">
        <v>5.4169999999999998</v>
      </c>
      <c r="K132" s="5">
        <v>100</v>
      </c>
      <c r="L132" s="5">
        <v>1500</v>
      </c>
      <c r="M132" s="6">
        <f t="shared" si="42"/>
        <v>15</v>
      </c>
      <c r="N132" s="6">
        <v>3.706</v>
      </c>
      <c r="O132" s="5">
        <v>100</v>
      </c>
      <c r="P132"/>
      <c r="Q132" s="5">
        <v>2155</v>
      </c>
      <c r="R132" s="6">
        <f t="shared" si="43"/>
        <v>21.55</v>
      </c>
      <c r="S132" s="6">
        <v>4.7</v>
      </c>
      <c r="T132" s="5">
        <v>100</v>
      </c>
      <c r="U132" s="5">
        <v>623</v>
      </c>
      <c r="V132" s="6">
        <f t="shared" si="44"/>
        <v>6.23</v>
      </c>
      <c r="W132" s="6">
        <v>2.73</v>
      </c>
      <c r="X132" s="5">
        <v>100</v>
      </c>
      <c r="Z132" s="6">
        <f t="shared" si="45"/>
        <v>2.0020000000000002</v>
      </c>
      <c r="AA132" s="6">
        <f t="shared" si="46"/>
        <v>3.4590690208667736</v>
      </c>
      <c r="AB132" s="11">
        <f t="shared" si="47"/>
        <v>0.72780670372965695</v>
      </c>
      <c r="AC132" t="s">
        <v>31</v>
      </c>
      <c r="AE132" t="s">
        <v>423</v>
      </c>
      <c r="AF132" s="9">
        <v>0.37152777777777773</v>
      </c>
      <c r="AG132" s="9">
        <v>0.4375</v>
      </c>
      <c r="AH132" s="9">
        <f t="shared" si="48"/>
        <v>6.5972222222222265E-2</v>
      </c>
      <c r="AI132" s="9">
        <f t="shared" si="40"/>
        <v>0.37152777777777773</v>
      </c>
      <c r="AJ132" s="9">
        <v>0.5180555555555556</v>
      </c>
      <c r="AK132" s="9">
        <f t="shared" si="49"/>
        <v>0.14652777777777787</v>
      </c>
      <c r="AM132" t="b">
        <v>1</v>
      </c>
    </row>
    <row r="133" spans="1:39" x14ac:dyDescent="0.3">
      <c r="A133" s="3" t="s">
        <v>315</v>
      </c>
      <c r="B133" t="s">
        <v>316</v>
      </c>
      <c r="C133" t="s">
        <v>29</v>
      </c>
      <c r="D133">
        <v>49</v>
      </c>
      <c r="E133" s="1">
        <v>26044</v>
      </c>
      <c r="F133" s="2">
        <v>44188.419571759259</v>
      </c>
      <c r="G133" t="s">
        <v>30</v>
      </c>
      <c r="H133" s="5">
        <v>1825</v>
      </c>
      <c r="I133" s="6">
        <f t="shared" si="41"/>
        <v>18.434343434343436</v>
      </c>
      <c r="J133" s="6">
        <v>1.2470000000000001</v>
      </c>
      <c r="K133" s="5">
        <v>99</v>
      </c>
      <c r="L133" s="5">
        <v>1058</v>
      </c>
      <c r="M133" s="6">
        <f t="shared" si="42"/>
        <v>10.686868686868687</v>
      </c>
      <c r="N133" s="6">
        <v>1.4470000000000001</v>
      </c>
      <c r="O133" s="5">
        <v>99</v>
      </c>
      <c r="P133"/>
      <c r="Q133" s="5">
        <v>1132</v>
      </c>
      <c r="R133" s="6">
        <f t="shared" si="43"/>
        <v>11.434343434343434</v>
      </c>
      <c r="S133" s="6">
        <v>1.032</v>
      </c>
      <c r="T133" s="5">
        <v>99</v>
      </c>
      <c r="U133" s="5">
        <v>334</v>
      </c>
      <c r="V133" s="6">
        <f t="shared" si="44"/>
        <v>3.3737373737373737</v>
      </c>
      <c r="W133" s="6">
        <v>0.59899999999999998</v>
      </c>
      <c r="X133" s="5">
        <v>99</v>
      </c>
      <c r="Z133" s="6">
        <f t="shared" si="45"/>
        <v>1.7249527410207941</v>
      </c>
      <c r="AA133" s="6">
        <f t="shared" si="46"/>
        <v>3.3892215568862274</v>
      </c>
      <c r="AB133" s="11">
        <f t="shared" si="47"/>
        <v>0.96481994914281</v>
      </c>
      <c r="AC133" t="s">
        <v>39</v>
      </c>
      <c r="AE133" t="s">
        <v>424</v>
      </c>
      <c r="AF133" s="9">
        <v>0.3923611111111111</v>
      </c>
      <c r="AG133" s="9">
        <v>0.44444444444444442</v>
      </c>
      <c r="AH133" s="9">
        <f t="shared" si="48"/>
        <v>5.2083333333333315E-2</v>
      </c>
      <c r="AI133" s="9">
        <f t="shared" si="40"/>
        <v>0.3923611111111111</v>
      </c>
      <c r="AJ133" s="9">
        <v>0.53472222222222221</v>
      </c>
      <c r="AK133" s="9">
        <f t="shared" si="49"/>
        <v>0.1423611111111111</v>
      </c>
      <c r="AM133" t="b">
        <v>1</v>
      </c>
    </row>
    <row r="134" spans="1:39" x14ac:dyDescent="0.3">
      <c r="A134" s="10" t="s">
        <v>317</v>
      </c>
      <c r="B134" t="s">
        <v>318</v>
      </c>
      <c r="C134" t="s">
        <v>52</v>
      </c>
      <c r="D134">
        <v>82</v>
      </c>
      <c r="E134" s="1">
        <v>14016</v>
      </c>
      <c r="F134" s="2">
        <v>44188.446145833332</v>
      </c>
      <c r="G134" t="s">
        <v>30</v>
      </c>
      <c r="H134" s="5">
        <v>2689</v>
      </c>
      <c r="I134" s="6">
        <f t="shared" si="41"/>
        <v>27.161616161616163</v>
      </c>
      <c r="J134" s="6">
        <v>5.0199999999999996</v>
      </c>
      <c r="K134" s="5">
        <v>99</v>
      </c>
      <c r="L134" s="5">
        <v>1937</v>
      </c>
      <c r="M134" s="6">
        <f t="shared" si="42"/>
        <v>19.565656565656564</v>
      </c>
      <c r="N134" s="6">
        <v>4.7060000000000004</v>
      </c>
      <c r="O134" s="5">
        <v>99</v>
      </c>
      <c r="P134"/>
      <c r="Q134" s="5">
        <v>2135</v>
      </c>
      <c r="R134" s="6">
        <f t="shared" si="43"/>
        <v>21.565656565656564</v>
      </c>
      <c r="S134" s="6">
        <v>5.077</v>
      </c>
      <c r="T134" s="5">
        <v>99</v>
      </c>
      <c r="U134" s="5">
        <v>1040</v>
      </c>
      <c r="V134" s="6">
        <f t="shared" si="44"/>
        <v>10.505050505050505</v>
      </c>
      <c r="W134" s="6">
        <v>2.9940000000000002</v>
      </c>
      <c r="X134" s="5">
        <v>99</v>
      </c>
      <c r="Z134" s="6">
        <f t="shared" si="45"/>
        <v>1.3882292204439857</v>
      </c>
      <c r="AA134" s="6">
        <f t="shared" si="46"/>
        <v>2.052884615384615</v>
      </c>
      <c r="AB134" s="11">
        <f t="shared" si="47"/>
        <v>0.47877928597991776</v>
      </c>
      <c r="AC134" t="s">
        <v>31</v>
      </c>
      <c r="AE134" t="s">
        <v>425</v>
      </c>
      <c r="AF134" s="9">
        <v>0.37777777777777777</v>
      </c>
      <c r="AG134" s="9">
        <v>0.4375</v>
      </c>
      <c r="AH134" s="9">
        <f t="shared" si="48"/>
        <v>5.9722222222222232E-2</v>
      </c>
      <c r="AI134" s="9">
        <f t="shared" si="40"/>
        <v>0.37777777777777777</v>
      </c>
      <c r="AJ134" s="9">
        <v>0.52083333333333337</v>
      </c>
      <c r="AK134" s="9">
        <f t="shared" si="49"/>
        <v>0.1430555555555556</v>
      </c>
      <c r="AM134" t="b">
        <v>1</v>
      </c>
    </row>
    <row r="135" spans="1:39" x14ac:dyDescent="0.3">
      <c r="A135" s="3" t="s">
        <v>319</v>
      </c>
      <c r="B135" t="s">
        <v>320</v>
      </c>
      <c r="C135" t="s">
        <v>29</v>
      </c>
      <c r="D135">
        <v>52</v>
      </c>
      <c r="E135" s="1">
        <v>25126</v>
      </c>
      <c r="F135" s="2">
        <v>44189.409791666665</v>
      </c>
      <c r="G135" t="s">
        <v>30</v>
      </c>
      <c r="H135">
        <v>2596</v>
      </c>
      <c r="I135" s="6">
        <f t="shared" si="41"/>
        <v>25.96</v>
      </c>
      <c r="J135">
        <v>4.7539999999999996</v>
      </c>
      <c r="K135">
        <v>100</v>
      </c>
      <c r="L135">
        <v>939</v>
      </c>
      <c r="M135" s="6">
        <f t="shared" si="42"/>
        <v>9.39</v>
      </c>
      <c r="N135" s="6">
        <v>2.9159999999999999</v>
      </c>
      <c r="O135">
        <v>100</v>
      </c>
      <c r="P135"/>
      <c r="Q135">
        <v>1741</v>
      </c>
      <c r="R135" s="6">
        <f t="shared" si="43"/>
        <v>17.41</v>
      </c>
      <c r="S135" s="6">
        <v>4.8010000000000002</v>
      </c>
      <c r="T135">
        <v>100</v>
      </c>
      <c r="U135">
        <v>390</v>
      </c>
      <c r="V135" s="6">
        <f t="shared" si="44"/>
        <v>3.9</v>
      </c>
      <c r="W135">
        <v>1.784</v>
      </c>
      <c r="X135">
        <v>100</v>
      </c>
      <c r="Z135" s="6">
        <f t="shared" si="45"/>
        <v>2.7646432374866881</v>
      </c>
      <c r="AA135" s="6">
        <f t="shared" si="46"/>
        <v>4.4641025641025642</v>
      </c>
      <c r="AB135" s="12">
        <f t="shared" si="47"/>
        <v>0.61471198293232188</v>
      </c>
      <c r="AC135" t="s">
        <v>40</v>
      </c>
      <c r="AE135" t="s">
        <v>423</v>
      </c>
      <c r="AF135" s="9">
        <v>0.37222222222222223</v>
      </c>
      <c r="AG135" s="9">
        <v>0.4375</v>
      </c>
      <c r="AH135" s="9">
        <f t="shared" si="48"/>
        <v>6.5277777777777768E-2</v>
      </c>
      <c r="AI135" s="9">
        <f t="shared" si="40"/>
        <v>0.37222222222222223</v>
      </c>
      <c r="AJ135" s="9">
        <v>0.52083333333333337</v>
      </c>
      <c r="AK135" s="9">
        <f t="shared" si="49"/>
        <v>0.14861111111111114</v>
      </c>
      <c r="AM135" t="b">
        <v>1</v>
      </c>
    </row>
    <row r="136" spans="1:39" x14ac:dyDescent="0.3">
      <c r="A136" s="3" t="s">
        <v>321</v>
      </c>
      <c r="B136" t="s">
        <v>322</v>
      </c>
      <c r="C136" t="s">
        <v>52</v>
      </c>
      <c r="D136">
        <v>58</v>
      </c>
      <c r="E136" s="1">
        <v>22756</v>
      </c>
      <c r="F136" s="2">
        <v>44194.441759259258</v>
      </c>
      <c r="G136" t="s">
        <v>30</v>
      </c>
      <c r="H136" s="5">
        <v>3644</v>
      </c>
      <c r="I136" s="6">
        <f t="shared" si="41"/>
        <v>36.80808080808081</v>
      </c>
      <c r="J136" s="6">
        <v>5.9550000000000001</v>
      </c>
      <c r="K136" s="5">
        <v>99</v>
      </c>
      <c r="L136" s="5">
        <v>1436</v>
      </c>
      <c r="M136" s="6">
        <f t="shared" si="42"/>
        <v>14.505050505050505</v>
      </c>
      <c r="N136" s="6">
        <v>4.0990000000000002</v>
      </c>
      <c r="O136" s="5">
        <v>99</v>
      </c>
      <c r="P136"/>
      <c r="Q136" s="5">
        <v>2678</v>
      </c>
      <c r="R136" s="6">
        <f t="shared" si="43"/>
        <v>27.050505050505052</v>
      </c>
      <c r="S136" s="6">
        <v>5.0270000000000001</v>
      </c>
      <c r="T136" s="5">
        <v>99</v>
      </c>
      <c r="U136" s="5">
        <v>751</v>
      </c>
      <c r="V136" s="6">
        <f t="shared" si="44"/>
        <v>7.5858585858585856</v>
      </c>
      <c r="W136" s="6">
        <v>2.7029999999999998</v>
      </c>
      <c r="X136" s="5">
        <v>99</v>
      </c>
      <c r="Z136" s="6">
        <f t="shared" si="45"/>
        <v>2.5376044568245124</v>
      </c>
      <c r="AA136" s="6">
        <f t="shared" si="46"/>
        <v>3.5659121171770973</v>
      </c>
      <c r="AB136" s="11">
        <f t="shared" si="47"/>
        <v>0.40522771686781339</v>
      </c>
      <c r="AC136" t="s">
        <v>40</v>
      </c>
      <c r="AE136" t="s">
        <v>425</v>
      </c>
      <c r="AF136" s="9">
        <v>0.38125000000000003</v>
      </c>
      <c r="AG136" s="9">
        <v>0.44444444444444442</v>
      </c>
      <c r="AH136" s="9">
        <f t="shared" si="48"/>
        <v>6.3194444444444386E-2</v>
      </c>
      <c r="AI136" s="9">
        <f t="shared" si="40"/>
        <v>0.38125000000000003</v>
      </c>
      <c r="AJ136" s="9">
        <v>0.52083333333333337</v>
      </c>
      <c r="AK136" s="9">
        <f t="shared" si="49"/>
        <v>0.13958333333333334</v>
      </c>
      <c r="AM136" t="b">
        <v>1</v>
      </c>
    </row>
    <row r="137" spans="1:39" x14ac:dyDescent="0.3">
      <c r="A137" s="3" t="s">
        <v>325</v>
      </c>
      <c r="B137" t="s">
        <v>326</v>
      </c>
      <c r="C137" t="s">
        <v>29</v>
      </c>
      <c r="D137">
        <v>47</v>
      </c>
      <c r="E137" s="1">
        <v>26910</v>
      </c>
      <c r="F137" s="2">
        <v>44195.416504629633</v>
      </c>
      <c r="G137" t="s">
        <v>30</v>
      </c>
      <c r="H137" s="5">
        <v>3084</v>
      </c>
      <c r="I137" s="6">
        <f t="shared" si="41"/>
        <v>31.151515151515152</v>
      </c>
      <c r="J137" s="6">
        <v>1.395</v>
      </c>
      <c r="K137" s="5">
        <v>99</v>
      </c>
      <c r="L137" s="5">
        <v>1561</v>
      </c>
      <c r="M137" s="6">
        <f t="shared" si="42"/>
        <v>15.767676767676768</v>
      </c>
      <c r="N137" s="6">
        <v>1.5369999999999999</v>
      </c>
      <c r="O137" s="5">
        <v>99</v>
      </c>
      <c r="P137"/>
      <c r="Q137" s="5">
        <v>2139</v>
      </c>
      <c r="R137" s="6">
        <f t="shared" si="43"/>
        <v>21.606060606060606</v>
      </c>
      <c r="S137" s="6">
        <v>1.8120000000000001</v>
      </c>
      <c r="T137" s="5">
        <v>99</v>
      </c>
      <c r="U137" s="5">
        <v>579</v>
      </c>
      <c r="V137" s="6">
        <f t="shared" si="44"/>
        <v>5.8484848484848486</v>
      </c>
      <c r="W137" s="6">
        <v>1.0629999999999999</v>
      </c>
      <c r="X137" s="5">
        <v>99</v>
      </c>
      <c r="Z137" s="6">
        <f t="shared" si="45"/>
        <v>1.9756566303651506</v>
      </c>
      <c r="AA137" s="6">
        <f t="shared" si="46"/>
        <v>3.6943005181347148</v>
      </c>
      <c r="AB137" s="11">
        <f t="shared" si="47"/>
        <v>0.86991021686390713</v>
      </c>
      <c r="AC137" t="s">
        <v>53</v>
      </c>
      <c r="AE137" t="s">
        <v>424</v>
      </c>
      <c r="AF137" s="9">
        <v>0.37083333333333335</v>
      </c>
      <c r="AG137" s="9">
        <v>0.4375</v>
      </c>
      <c r="AH137" s="9">
        <f t="shared" si="48"/>
        <v>6.6666666666666652E-2</v>
      </c>
      <c r="AI137" s="9">
        <f t="shared" si="40"/>
        <v>0.37083333333333335</v>
      </c>
      <c r="AJ137" s="9">
        <v>0.51458333333333328</v>
      </c>
      <c r="AK137" s="9">
        <f t="shared" si="49"/>
        <v>0.14374999999999993</v>
      </c>
      <c r="AM137" t="b">
        <v>1</v>
      </c>
    </row>
    <row r="138" spans="1:39" x14ac:dyDescent="0.3">
      <c r="A138" s="3" t="s">
        <v>323</v>
      </c>
      <c r="B138" t="s">
        <v>324</v>
      </c>
      <c r="C138" t="s">
        <v>29</v>
      </c>
      <c r="D138">
        <v>54</v>
      </c>
      <c r="E138" s="1">
        <v>24336</v>
      </c>
      <c r="F138" s="2">
        <v>44195.443854166668</v>
      </c>
      <c r="G138" t="s">
        <v>30</v>
      </c>
      <c r="H138" s="5">
        <v>3274</v>
      </c>
      <c r="I138" s="6">
        <f t="shared" si="41"/>
        <v>32.74</v>
      </c>
      <c r="J138" s="6">
        <v>6.4249999999999998</v>
      </c>
      <c r="K138" s="5">
        <v>100</v>
      </c>
      <c r="L138" s="5">
        <v>1050</v>
      </c>
      <c r="M138" s="6">
        <f t="shared" si="42"/>
        <v>10.5</v>
      </c>
      <c r="N138" s="6">
        <v>3.32</v>
      </c>
      <c r="O138" s="5">
        <v>100</v>
      </c>
      <c r="P138"/>
      <c r="Q138" s="5">
        <v>2459</v>
      </c>
      <c r="R138" s="6">
        <f t="shared" si="43"/>
        <v>24.59</v>
      </c>
      <c r="S138" s="6">
        <v>5.0149999999999997</v>
      </c>
      <c r="T138" s="5">
        <v>100</v>
      </c>
      <c r="U138" s="5">
        <v>527</v>
      </c>
      <c r="V138" s="6">
        <f t="shared" si="44"/>
        <v>5.27</v>
      </c>
      <c r="W138" s="6">
        <v>2.2869999999999999</v>
      </c>
      <c r="X138" s="5">
        <v>100</v>
      </c>
      <c r="Z138" s="6">
        <f t="shared" si="45"/>
        <v>3.1180952380952385</v>
      </c>
      <c r="AA138" s="6">
        <f t="shared" si="46"/>
        <v>4.6660341555977229</v>
      </c>
      <c r="AB138" s="11">
        <f t="shared" si="47"/>
        <v>0.49643734373170695</v>
      </c>
      <c r="AC138" t="s">
        <v>31</v>
      </c>
      <c r="AE138" t="s">
        <v>424</v>
      </c>
      <c r="AF138" s="9">
        <v>0.38125000000000003</v>
      </c>
      <c r="AG138" s="9">
        <v>0.44444444444444442</v>
      </c>
      <c r="AH138" s="9">
        <f t="shared" si="48"/>
        <v>6.3194444444444386E-2</v>
      </c>
      <c r="AI138" s="9">
        <f t="shared" si="40"/>
        <v>0.38125000000000003</v>
      </c>
      <c r="AJ138" s="9">
        <v>0.52430555555555558</v>
      </c>
      <c r="AK138" s="9">
        <f t="shared" si="49"/>
        <v>0.14305555555555555</v>
      </c>
      <c r="AM138" t="b">
        <v>1</v>
      </c>
    </row>
    <row r="139" spans="1:39" x14ac:dyDescent="0.3">
      <c r="A139" s="3" t="s">
        <v>327</v>
      </c>
      <c r="B139" t="s">
        <v>328</v>
      </c>
      <c r="C139" t="s">
        <v>29</v>
      </c>
      <c r="D139">
        <v>40</v>
      </c>
      <c r="E139" s="1">
        <v>29456</v>
      </c>
      <c r="F139" s="2">
        <v>44196.433888888889</v>
      </c>
      <c r="G139" t="s">
        <v>30</v>
      </c>
      <c r="H139" s="5">
        <v>2289</v>
      </c>
      <c r="I139" s="6">
        <f t="shared" si="41"/>
        <v>22.89</v>
      </c>
      <c r="J139" s="6">
        <v>5.0869999999999997</v>
      </c>
      <c r="K139" s="5">
        <v>100</v>
      </c>
      <c r="L139" s="5">
        <v>717</v>
      </c>
      <c r="M139" s="6">
        <f t="shared" si="42"/>
        <v>7.17</v>
      </c>
      <c r="N139" s="6">
        <v>2.8210000000000002</v>
      </c>
      <c r="O139" s="5">
        <v>100</v>
      </c>
      <c r="P139"/>
      <c r="Q139" s="5">
        <v>1436</v>
      </c>
      <c r="R139" s="6">
        <f t="shared" si="43"/>
        <v>14.505050505050505</v>
      </c>
      <c r="S139" s="6">
        <v>4.4160000000000004</v>
      </c>
      <c r="T139" s="5">
        <v>99</v>
      </c>
      <c r="U139" s="5">
        <v>229</v>
      </c>
      <c r="V139" s="6">
        <f t="shared" si="44"/>
        <v>2.3131313131313131</v>
      </c>
      <c r="W139" s="6">
        <v>1.536</v>
      </c>
      <c r="X139" s="5">
        <v>99</v>
      </c>
      <c r="Z139" s="6">
        <f t="shared" si="45"/>
        <v>3.1924686192468621</v>
      </c>
      <c r="AA139" s="6">
        <f t="shared" si="46"/>
        <v>6.2707423580786026</v>
      </c>
      <c r="AB139" s="11">
        <f t="shared" si="47"/>
        <v>0.964229912949916</v>
      </c>
      <c r="AC139" t="s">
        <v>31</v>
      </c>
      <c r="AE139" t="s">
        <v>423</v>
      </c>
      <c r="AF139" s="9">
        <v>0.375</v>
      </c>
      <c r="AG139" s="9">
        <v>0.4375</v>
      </c>
      <c r="AH139" s="9">
        <f t="shared" si="48"/>
        <v>6.25E-2</v>
      </c>
      <c r="AI139" s="9">
        <f t="shared" si="40"/>
        <v>0.375</v>
      </c>
      <c r="AJ139" s="9">
        <v>0.52083333333333337</v>
      </c>
      <c r="AK139" s="9">
        <f t="shared" si="49"/>
        <v>0.14583333333333337</v>
      </c>
      <c r="AM139" t="b">
        <v>1</v>
      </c>
    </row>
    <row r="140" spans="1:39" x14ac:dyDescent="0.3">
      <c r="A140" s="3" t="s">
        <v>330</v>
      </c>
      <c r="B140" t="s">
        <v>331</v>
      </c>
      <c r="C140" t="s">
        <v>29</v>
      </c>
      <c r="D140">
        <v>51</v>
      </c>
      <c r="E140" s="1">
        <v>25262</v>
      </c>
      <c r="F140" s="2">
        <v>44200.395185185182</v>
      </c>
      <c r="G140" t="s">
        <v>30</v>
      </c>
      <c r="H140" s="5">
        <v>1713</v>
      </c>
      <c r="I140" s="6">
        <f>H140/K140</f>
        <v>17.13</v>
      </c>
      <c r="J140" s="6">
        <v>1.353</v>
      </c>
      <c r="K140" s="5">
        <v>100</v>
      </c>
      <c r="L140" s="5">
        <v>1009</v>
      </c>
      <c r="M140" s="6">
        <f>L140/O140</f>
        <v>10.09</v>
      </c>
      <c r="N140" s="6">
        <v>1.2070000000000001</v>
      </c>
      <c r="O140" s="5">
        <v>100</v>
      </c>
      <c r="P140"/>
      <c r="Q140" s="5">
        <v>1165</v>
      </c>
      <c r="R140" s="6">
        <f>Q140/T140</f>
        <v>11.65</v>
      </c>
      <c r="S140" s="6">
        <v>1.048</v>
      </c>
      <c r="T140" s="5">
        <v>100</v>
      </c>
      <c r="U140" s="5">
        <v>382</v>
      </c>
      <c r="V140" s="6">
        <f>U140/X140</f>
        <v>3.82</v>
      </c>
      <c r="W140" s="6">
        <v>0.41099999999999998</v>
      </c>
      <c r="X140" s="5">
        <v>100</v>
      </c>
      <c r="Z140" s="6">
        <f>I140/M140</f>
        <v>1.6977205153617443</v>
      </c>
      <c r="AA140" s="6">
        <f>R140/V140</f>
        <v>3.0497382198952883</v>
      </c>
      <c r="AB140" s="11">
        <f>(AA140-Z140)/Z140</f>
        <v>0.79637236653493626</v>
      </c>
      <c r="AC140" t="s">
        <v>39</v>
      </c>
      <c r="AE140" t="s">
        <v>424</v>
      </c>
      <c r="AF140" s="9">
        <v>0.39374999999999999</v>
      </c>
      <c r="AG140" s="9">
        <v>0.44444444444444442</v>
      </c>
      <c r="AH140" s="9">
        <f>AG140-AF140</f>
        <v>5.0694444444444431E-2</v>
      </c>
      <c r="AI140" s="9">
        <f>AF140</f>
        <v>0.39374999999999999</v>
      </c>
      <c r="AJ140" s="9">
        <v>0.54166666666666663</v>
      </c>
      <c r="AK140" s="9">
        <f>AJ140-AI140</f>
        <v>0.14791666666666664</v>
      </c>
      <c r="AM140" t="b">
        <v>1</v>
      </c>
    </row>
    <row r="141" spans="1:39" x14ac:dyDescent="0.3">
      <c r="A141" s="3" t="s">
        <v>332</v>
      </c>
      <c r="B141" t="s">
        <v>333</v>
      </c>
      <c r="C141" t="s">
        <v>29</v>
      </c>
      <c r="D141">
        <v>50</v>
      </c>
      <c r="E141" s="1">
        <v>25783</v>
      </c>
      <c r="F141" s="2">
        <v>44201.428680555553</v>
      </c>
      <c r="G141" t="s">
        <v>30</v>
      </c>
      <c r="H141" s="5">
        <v>3502</v>
      </c>
      <c r="I141" s="6">
        <f t="shared" ref="I141:I164" si="50">H141/K141</f>
        <v>35.020000000000003</v>
      </c>
      <c r="J141" s="6">
        <v>1.4770000000000001</v>
      </c>
      <c r="K141" s="5">
        <v>100</v>
      </c>
      <c r="L141" s="5">
        <v>2520</v>
      </c>
      <c r="M141" s="6">
        <f t="shared" ref="M141:M164" si="51">L141/O141</f>
        <v>25.2</v>
      </c>
      <c r="N141" s="6">
        <v>1.8149999999999999</v>
      </c>
      <c r="O141" s="5">
        <v>100</v>
      </c>
      <c r="P141"/>
      <c r="Q141" s="5">
        <v>2247</v>
      </c>
      <c r="R141" s="6">
        <f t="shared" ref="R141:R164" si="52">Q141/T141</f>
        <v>22.47</v>
      </c>
      <c r="S141" s="6">
        <v>1.5529999999999999</v>
      </c>
      <c r="T141" s="5">
        <v>100</v>
      </c>
      <c r="U141" s="5">
        <v>798</v>
      </c>
      <c r="V141" s="6">
        <f t="shared" ref="V141:V164" si="53">U141/X141</f>
        <v>7.98</v>
      </c>
      <c r="W141" s="6">
        <v>1.0249999999999999</v>
      </c>
      <c r="X141" s="5">
        <v>100</v>
      </c>
      <c r="Z141" s="6">
        <f t="shared" ref="Z141:Z164" si="54">I141/M141</f>
        <v>1.3896825396825399</v>
      </c>
      <c r="AA141" s="6">
        <f t="shared" ref="AA141:AA164" si="55">R141/V141</f>
        <v>2.8157894736842102</v>
      </c>
      <c r="AB141" s="11">
        <f t="shared" ref="AB141:AB164" si="56">(AA141-Z141)/Z141</f>
        <v>1.026210586431813</v>
      </c>
      <c r="AC141" t="s">
        <v>53</v>
      </c>
      <c r="AE141" t="s">
        <v>424</v>
      </c>
      <c r="AF141" s="9">
        <v>0.38125000000000003</v>
      </c>
      <c r="AG141" s="9">
        <v>0.44444444444444442</v>
      </c>
      <c r="AH141" s="9">
        <f t="shared" ref="AH141:AH157" si="57">AG141-AF141</f>
        <v>6.3194444444444386E-2</v>
      </c>
      <c r="AI141" s="9">
        <f t="shared" ref="AI141:AI157" si="58">AF141</f>
        <v>0.38125000000000003</v>
      </c>
      <c r="AJ141" s="9">
        <v>0.52083333333333337</v>
      </c>
      <c r="AK141" s="9">
        <f t="shared" ref="AK141:AK204" si="59">AJ141-AI141</f>
        <v>0.13958333333333334</v>
      </c>
      <c r="AM141" t="b">
        <v>1</v>
      </c>
    </row>
    <row r="142" spans="1:39" x14ac:dyDescent="0.3">
      <c r="A142" s="3" t="s">
        <v>334</v>
      </c>
      <c r="B142" t="s">
        <v>335</v>
      </c>
      <c r="C142" t="s">
        <v>29</v>
      </c>
      <c r="D142">
        <v>53</v>
      </c>
      <c r="E142" s="1">
        <v>24517</v>
      </c>
      <c r="F142" s="2">
        <v>44201.407141203701</v>
      </c>
      <c r="G142" t="s">
        <v>30</v>
      </c>
      <c r="H142" s="5">
        <v>3766</v>
      </c>
      <c r="I142" s="6">
        <f t="shared" si="50"/>
        <v>38.040404040404042</v>
      </c>
      <c r="J142" s="6">
        <v>6.24</v>
      </c>
      <c r="K142" s="5">
        <v>99</v>
      </c>
      <c r="L142" s="5">
        <v>974</v>
      </c>
      <c r="M142" s="6">
        <f t="shared" si="51"/>
        <v>9.8383838383838391</v>
      </c>
      <c r="N142" s="6">
        <v>3.056</v>
      </c>
      <c r="O142" s="5">
        <v>99</v>
      </c>
      <c r="P142"/>
      <c r="Q142" s="5">
        <v>2797</v>
      </c>
      <c r="R142" s="6">
        <f t="shared" si="52"/>
        <v>28.252525252525253</v>
      </c>
      <c r="S142" s="6">
        <v>5.7610000000000001</v>
      </c>
      <c r="T142" s="5">
        <v>99</v>
      </c>
      <c r="U142" s="5">
        <v>311</v>
      </c>
      <c r="V142" s="6">
        <f t="shared" si="53"/>
        <v>3.1414141414141414</v>
      </c>
      <c r="W142" s="6">
        <v>1.8460000000000001</v>
      </c>
      <c r="X142" s="5">
        <v>99</v>
      </c>
      <c r="Z142" s="6">
        <f t="shared" si="54"/>
        <v>3.8665297741273097</v>
      </c>
      <c r="AA142" s="6">
        <f t="shared" si="55"/>
        <v>8.9935691318327979</v>
      </c>
      <c r="AB142" s="11">
        <f t="shared" si="56"/>
        <v>1.3260053994702989</v>
      </c>
      <c r="AC142" t="s">
        <v>40</v>
      </c>
      <c r="AE142" t="s">
        <v>425</v>
      </c>
      <c r="AF142" s="9">
        <v>0.375</v>
      </c>
      <c r="AG142" s="9">
        <v>0.44444444444444442</v>
      </c>
      <c r="AH142" s="9">
        <f t="shared" si="57"/>
        <v>6.944444444444442E-2</v>
      </c>
      <c r="AI142" s="9">
        <f t="shared" si="58"/>
        <v>0.375</v>
      </c>
      <c r="AJ142" s="9">
        <v>0.52083333333333337</v>
      </c>
      <c r="AK142" s="9">
        <f t="shared" si="59"/>
        <v>0.14583333333333337</v>
      </c>
      <c r="AM142" t="b">
        <v>1</v>
      </c>
    </row>
    <row r="143" spans="1:39" x14ac:dyDescent="0.3">
      <c r="A143" s="3" t="s">
        <v>336</v>
      </c>
      <c r="B143" t="s">
        <v>337</v>
      </c>
      <c r="C143" t="s">
        <v>29</v>
      </c>
      <c r="D143">
        <v>65</v>
      </c>
      <c r="E143" s="1">
        <v>20268</v>
      </c>
      <c r="F143" s="2">
        <v>44202.447511574072</v>
      </c>
      <c r="G143" t="s">
        <v>30</v>
      </c>
      <c r="H143" s="5">
        <v>2200</v>
      </c>
      <c r="I143" s="6">
        <f t="shared" si="50"/>
        <v>22.222222222222221</v>
      </c>
      <c r="J143" s="6">
        <v>1.329</v>
      </c>
      <c r="K143" s="5">
        <v>99</v>
      </c>
      <c r="L143" s="5">
        <v>927</v>
      </c>
      <c r="M143" s="6">
        <f t="shared" si="51"/>
        <v>9.3636363636363633</v>
      </c>
      <c r="N143" s="6">
        <v>0.66200000000000003</v>
      </c>
      <c r="O143" s="5">
        <v>99</v>
      </c>
      <c r="P143"/>
      <c r="Q143" s="5">
        <v>1529</v>
      </c>
      <c r="R143" s="6">
        <f t="shared" si="52"/>
        <v>15.29</v>
      </c>
      <c r="S143" s="6">
        <v>1.4450000000000001</v>
      </c>
      <c r="T143" s="5">
        <v>100</v>
      </c>
      <c r="U143" s="5">
        <v>350</v>
      </c>
      <c r="V143" s="6">
        <f t="shared" si="53"/>
        <v>3.5</v>
      </c>
      <c r="W143" s="7">
        <v>0.56000000000000005</v>
      </c>
      <c r="X143" s="5">
        <v>100</v>
      </c>
      <c r="Z143" s="6">
        <f t="shared" si="54"/>
        <v>2.3732470334412081</v>
      </c>
      <c r="AA143" s="6">
        <f t="shared" si="55"/>
        <v>4.3685714285714283</v>
      </c>
      <c r="AB143" s="11">
        <f t="shared" si="56"/>
        <v>0.84075714285714276</v>
      </c>
      <c r="AC143" t="s">
        <v>39</v>
      </c>
      <c r="AE143" t="s">
        <v>423</v>
      </c>
      <c r="AF143" s="9">
        <v>0.39999999999999997</v>
      </c>
      <c r="AG143" s="9">
        <v>0.44444444444444442</v>
      </c>
      <c r="AH143" s="9">
        <f t="shared" si="57"/>
        <v>4.4444444444444453E-2</v>
      </c>
      <c r="AI143" s="9">
        <f t="shared" si="58"/>
        <v>0.39999999999999997</v>
      </c>
      <c r="AJ143" s="9">
        <v>0.53125</v>
      </c>
      <c r="AK143" s="9">
        <f t="shared" si="59"/>
        <v>0.13125000000000003</v>
      </c>
      <c r="AM143" t="b">
        <v>1</v>
      </c>
    </row>
    <row r="144" spans="1:39" x14ac:dyDescent="0.3">
      <c r="A144" s="3" t="s">
        <v>338</v>
      </c>
      <c r="B144" t="s">
        <v>339</v>
      </c>
      <c r="C144" t="s">
        <v>29</v>
      </c>
      <c r="D144">
        <v>60</v>
      </c>
      <c r="E144" s="1">
        <v>22034</v>
      </c>
      <c r="F144" s="2">
        <v>44204.435486111113</v>
      </c>
      <c r="G144" t="s">
        <v>30</v>
      </c>
      <c r="H144" s="5">
        <v>5577</v>
      </c>
      <c r="I144" s="6">
        <f t="shared" si="50"/>
        <v>56.333333333333336</v>
      </c>
      <c r="J144" s="6">
        <v>3.1230000000000002</v>
      </c>
      <c r="K144" s="5">
        <v>99</v>
      </c>
      <c r="L144" s="5">
        <v>2969</v>
      </c>
      <c r="M144" s="6">
        <f t="shared" si="51"/>
        <v>29.98989898989899</v>
      </c>
      <c r="N144" s="6">
        <v>2.988</v>
      </c>
      <c r="O144" s="5">
        <v>99</v>
      </c>
      <c r="P144"/>
      <c r="Q144" s="5">
        <v>3556</v>
      </c>
      <c r="R144" s="6">
        <f t="shared" si="52"/>
        <v>35.56</v>
      </c>
      <c r="S144" s="6">
        <v>3.105</v>
      </c>
      <c r="T144" s="5">
        <v>100</v>
      </c>
      <c r="U144" s="5">
        <v>678</v>
      </c>
      <c r="V144" s="6">
        <f t="shared" si="53"/>
        <v>6.78</v>
      </c>
      <c r="W144" s="7">
        <v>0.91700000000000004</v>
      </c>
      <c r="X144" s="5">
        <v>100</v>
      </c>
      <c r="Z144" s="6">
        <f t="shared" si="54"/>
        <v>1.8784102391377568</v>
      </c>
      <c r="AA144" s="6">
        <f t="shared" si="55"/>
        <v>5.2448377581120944</v>
      </c>
      <c r="AB144" s="11">
        <f t="shared" si="56"/>
        <v>1.7921684245714198</v>
      </c>
      <c r="AC144" t="s">
        <v>53</v>
      </c>
      <c r="AE144" t="s">
        <v>423</v>
      </c>
      <c r="AF144" s="9">
        <v>0.40972222222222227</v>
      </c>
      <c r="AG144" s="9">
        <v>0.44444444444444442</v>
      </c>
      <c r="AH144" s="9">
        <f t="shared" si="57"/>
        <v>3.4722222222222154E-2</v>
      </c>
      <c r="AI144" s="9">
        <f t="shared" si="58"/>
        <v>0.40972222222222227</v>
      </c>
      <c r="AJ144" s="9">
        <v>0.53472222222222221</v>
      </c>
      <c r="AK144" s="9">
        <f t="shared" si="59"/>
        <v>0.12499999999999994</v>
      </c>
      <c r="AM144" t="b">
        <v>1</v>
      </c>
    </row>
    <row r="145" spans="1:39" x14ac:dyDescent="0.3">
      <c r="A145" s="3" t="s">
        <v>340</v>
      </c>
      <c r="B145" t="s">
        <v>341</v>
      </c>
      <c r="C145" t="s">
        <v>29</v>
      </c>
      <c r="D145">
        <v>35</v>
      </c>
      <c r="E145" s="1">
        <v>31203</v>
      </c>
      <c r="F145" s="2">
        <v>44208.431134259263</v>
      </c>
      <c r="G145" t="s">
        <v>30</v>
      </c>
      <c r="H145" s="5">
        <v>3441</v>
      </c>
      <c r="I145" s="6">
        <f t="shared" si="50"/>
        <v>34.409999999999997</v>
      </c>
      <c r="J145" s="6">
        <v>1.9750000000000001</v>
      </c>
      <c r="K145" s="5">
        <v>100</v>
      </c>
      <c r="L145" s="5">
        <v>1234</v>
      </c>
      <c r="M145" s="6">
        <f t="shared" si="51"/>
        <v>12.34</v>
      </c>
      <c r="N145" s="6">
        <v>1.2490000000000001</v>
      </c>
      <c r="O145" s="5">
        <v>100</v>
      </c>
      <c r="P145"/>
      <c r="Q145" s="5">
        <v>2406</v>
      </c>
      <c r="R145" s="6">
        <f t="shared" si="52"/>
        <v>24.303030303030305</v>
      </c>
      <c r="S145" s="6">
        <v>2.3540000000000001</v>
      </c>
      <c r="T145" s="5">
        <v>99</v>
      </c>
      <c r="U145" s="5">
        <v>491</v>
      </c>
      <c r="V145" s="6">
        <f t="shared" si="53"/>
        <v>4.9595959595959593</v>
      </c>
      <c r="W145" s="7">
        <v>0.72699999999999998</v>
      </c>
      <c r="X145" s="5">
        <v>99</v>
      </c>
      <c r="Z145" s="6">
        <f t="shared" si="54"/>
        <v>2.7884927066450564</v>
      </c>
      <c r="AA145" s="6">
        <f t="shared" si="55"/>
        <v>4.9002036659877808</v>
      </c>
      <c r="AB145" s="11">
        <f t="shared" si="56"/>
        <v>0.75729477588751004</v>
      </c>
      <c r="AC145" t="s">
        <v>53</v>
      </c>
      <c r="AE145" t="s">
        <v>424</v>
      </c>
      <c r="AF145" s="9">
        <v>0.40069444444444446</v>
      </c>
      <c r="AG145" s="9">
        <v>0.44444444444444442</v>
      </c>
      <c r="AH145" s="9">
        <f t="shared" si="57"/>
        <v>4.3749999999999956E-2</v>
      </c>
      <c r="AI145" s="9">
        <f t="shared" si="58"/>
        <v>0.40069444444444446</v>
      </c>
      <c r="AJ145" s="9">
        <v>0.51736111111111105</v>
      </c>
      <c r="AK145" s="9">
        <f t="shared" si="59"/>
        <v>0.11666666666666659</v>
      </c>
      <c r="AM145" t="b">
        <v>1</v>
      </c>
    </row>
    <row r="146" spans="1:39" x14ac:dyDescent="0.3">
      <c r="A146" s="3" t="s">
        <v>342</v>
      </c>
      <c r="B146" t="s">
        <v>343</v>
      </c>
      <c r="C146" t="s">
        <v>29</v>
      </c>
      <c r="D146">
        <v>57</v>
      </c>
      <c r="E146" s="1">
        <v>23062</v>
      </c>
      <c r="F146" s="2">
        <v>44208.442986111113</v>
      </c>
      <c r="G146" t="s">
        <v>30</v>
      </c>
      <c r="H146" s="5">
        <v>2638</v>
      </c>
      <c r="I146" s="6">
        <f t="shared" si="50"/>
        <v>26.646464646464647</v>
      </c>
      <c r="J146" s="6">
        <v>4.6909999999999998</v>
      </c>
      <c r="K146" s="5">
        <v>99</v>
      </c>
      <c r="L146" s="5">
        <v>1635</v>
      </c>
      <c r="M146" s="6">
        <f t="shared" si="51"/>
        <v>16.515151515151516</v>
      </c>
      <c r="N146" s="6">
        <v>4.5949999999999998</v>
      </c>
      <c r="O146" s="5">
        <v>99</v>
      </c>
      <c r="P146"/>
      <c r="Q146" s="5">
        <v>2021</v>
      </c>
      <c r="R146" s="6">
        <f t="shared" si="52"/>
        <v>20.21</v>
      </c>
      <c r="S146" s="6">
        <v>4.4950000000000001</v>
      </c>
      <c r="T146" s="5">
        <v>100</v>
      </c>
      <c r="U146" s="5">
        <v>638</v>
      </c>
      <c r="V146" s="6">
        <f t="shared" si="53"/>
        <v>6.38</v>
      </c>
      <c r="W146" s="6">
        <v>2.5259999999999998</v>
      </c>
      <c r="X146" s="5">
        <v>100</v>
      </c>
      <c r="Z146" s="6">
        <f t="shared" si="54"/>
        <v>1.6134556574923546</v>
      </c>
      <c r="AA146" s="6">
        <f t="shared" si="55"/>
        <v>3.1677115987460818</v>
      </c>
      <c r="AB146" s="11">
        <f t="shared" si="56"/>
        <v>0.96330874296809854</v>
      </c>
      <c r="AC146" t="s">
        <v>31</v>
      </c>
      <c r="AE146" t="s">
        <v>423</v>
      </c>
      <c r="AF146" s="9">
        <v>0.40833333333333338</v>
      </c>
      <c r="AG146" s="9">
        <v>0.44444444444444442</v>
      </c>
      <c r="AH146" s="9">
        <f t="shared" si="57"/>
        <v>3.6111111111111038E-2</v>
      </c>
      <c r="AI146" s="9">
        <f t="shared" si="58"/>
        <v>0.40833333333333338</v>
      </c>
      <c r="AJ146" s="9">
        <v>0.53472222222222221</v>
      </c>
      <c r="AK146" s="9">
        <f t="shared" si="59"/>
        <v>0.12638888888888883</v>
      </c>
      <c r="AM146" t="b">
        <v>1</v>
      </c>
    </row>
    <row r="147" spans="1:39" x14ac:dyDescent="0.3">
      <c r="A147" s="3" t="s">
        <v>344</v>
      </c>
      <c r="B147" t="s">
        <v>345</v>
      </c>
      <c r="C147" t="s">
        <v>29</v>
      </c>
      <c r="D147">
        <v>40</v>
      </c>
      <c r="E147" s="1">
        <v>29344</v>
      </c>
      <c r="F147" s="2">
        <v>44209.442418981482</v>
      </c>
      <c r="G147" t="s">
        <v>30</v>
      </c>
      <c r="H147" s="5">
        <v>1190</v>
      </c>
      <c r="I147" s="6">
        <f t="shared" si="50"/>
        <v>12.020202020202021</v>
      </c>
      <c r="J147" s="6">
        <v>1.069</v>
      </c>
      <c r="K147" s="5">
        <v>99</v>
      </c>
      <c r="L147" s="5">
        <v>563</v>
      </c>
      <c r="M147" s="6">
        <f t="shared" si="51"/>
        <v>5.6868686868686869</v>
      </c>
      <c r="N147" s="6">
        <v>0.92200000000000004</v>
      </c>
      <c r="O147" s="5">
        <v>99</v>
      </c>
      <c r="P147"/>
      <c r="Q147" s="5">
        <v>814</v>
      </c>
      <c r="R147" s="6">
        <f t="shared" si="52"/>
        <v>8.2222222222222214</v>
      </c>
      <c r="S147" s="6">
        <v>0.76300000000000001</v>
      </c>
      <c r="T147" s="5">
        <v>99</v>
      </c>
      <c r="U147" s="5">
        <v>315</v>
      </c>
      <c r="V147" s="6">
        <f t="shared" si="53"/>
        <v>3.1818181818181817</v>
      </c>
      <c r="W147" s="6">
        <v>0.437</v>
      </c>
      <c r="X147" s="5">
        <v>99</v>
      </c>
      <c r="Z147" s="6">
        <f t="shared" si="54"/>
        <v>2.1136767317939609</v>
      </c>
      <c r="AA147" s="6">
        <f t="shared" si="55"/>
        <v>2.5841269841269838</v>
      </c>
      <c r="AB147" s="11">
        <f t="shared" si="56"/>
        <v>0.22257436307856465</v>
      </c>
      <c r="AC147" t="s">
        <v>39</v>
      </c>
      <c r="AE147" t="s">
        <v>424</v>
      </c>
      <c r="AF147" s="9">
        <v>0.375</v>
      </c>
      <c r="AG147" s="9">
        <v>0.44444444444444442</v>
      </c>
      <c r="AH147" s="9">
        <f t="shared" si="57"/>
        <v>6.944444444444442E-2</v>
      </c>
      <c r="AI147" s="9">
        <f t="shared" si="58"/>
        <v>0.375</v>
      </c>
      <c r="AJ147" s="9">
        <v>0.52083333333333337</v>
      </c>
      <c r="AK147" s="9">
        <f t="shared" si="59"/>
        <v>0.14583333333333337</v>
      </c>
      <c r="AM147" t="b">
        <v>1</v>
      </c>
    </row>
    <row r="148" spans="1:39" x14ac:dyDescent="0.3">
      <c r="A148" s="3" t="s">
        <v>346</v>
      </c>
      <c r="B148" t="s">
        <v>347</v>
      </c>
      <c r="C148" t="s">
        <v>29</v>
      </c>
      <c r="D148">
        <v>66</v>
      </c>
      <c r="E148" s="1">
        <v>19783</v>
      </c>
      <c r="F148" s="2">
        <v>44210.439201388886</v>
      </c>
      <c r="G148" t="s">
        <v>30</v>
      </c>
      <c r="H148" s="5">
        <v>2715</v>
      </c>
      <c r="I148" s="6">
        <f t="shared" si="50"/>
        <v>27.424242424242426</v>
      </c>
      <c r="J148" s="6">
        <v>5.59</v>
      </c>
      <c r="K148" s="5">
        <v>99</v>
      </c>
      <c r="L148" s="5">
        <v>1308</v>
      </c>
      <c r="M148" s="6">
        <f t="shared" si="51"/>
        <v>13.212121212121213</v>
      </c>
      <c r="N148" s="6">
        <v>3.5859999999999999</v>
      </c>
      <c r="O148" s="5">
        <v>99</v>
      </c>
      <c r="P148"/>
      <c r="Q148" s="5">
        <v>1853</v>
      </c>
      <c r="R148" s="6">
        <f t="shared" si="52"/>
        <v>18.717171717171716</v>
      </c>
      <c r="S148" s="6">
        <v>5.1769999999999996</v>
      </c>
      <c r="T148" s="5">
        <v>99</v>
      </c>
      <c r="U148" s="5">
        <v>539</v>
      </c>
      <c r="V148" s="6">
        <f t="shared" si="53"/>
        <v>5.4444444444444446</v>
      </c>
      <c r="W148" s="6">
        <v>2.4750000000000001</v>
      </c>
      <c r="X148" s="5">
        <v>99</v>
      </c>
      <c r="Z148" s="6">
        <f t="shared" si="54"/>
        <v>2.0756880733944953</v>
      </c>
      <c r="AA148" s="6">
        <f t="shared" si="55"/>
        <v>3.4378478664192946</v>
      </c>
      <c r="AB148" s="11">
        <f t="shared" si="56"/>
        <v>0.65624493896001379</v>
      </c>
      <c r="AC148" t="s">
        <v>31</v>
      </c>
      <c r="AE148" t="s">
        <v>423</v>
      </c>
      <c r="AF148" s="9">
        <v>0.37847222222222227</v>
      </c>
      <c r="AG148" s="9">
        <v>0.44444444444444442</v>
      </c>
      <c r="AH148" s="9">
        <f t="shared" si="57"/>
        <v>6.5972222222222154E-2</v>
      </c>
      <c r="AI148" s="9">
        <f t="shared" si="58"/>
        <v>0.37847222222222227</v>
      </c>
      <c r="AJ148" s="9">
        <v>0.52083333333333337</v>
      </c>
      <c r="AK148" s="9">
        <f t="shared" si="59"/>
        <v>0.1423611111111111</v>
      </c>
      <c r="AM148" t="b">
        <v>1</v>
      </c>
    </row>
    <row r="149" spans="1:39" x14ac:dyDescent="0.3">
      <c r="A149" s="3" t="s">
        <v>348</v>
      </c>
      <c r="B149" t="s">
        <v>349</v>
      </c>
      <c r="C149" t="s">
        <v>29</v>
      </c>
      <c r="D149">
        <v>44</v>
      </c>
      <c r="E149" s="1">
        <v>27796</v>
      </c>
      <c r="F149" s="2">
        <v>44210.418009259258</v>
      </c>
      <c r="G149" t="s">
        <v>30</v>
      </c>
      <c r="H149" s="5">
        <v>1681</v>
      </c>
      <c r="I149" s="6">
        <f t="shared" si="50"/>
        <v>16.809999999999999</v>
      </c>
      <c r="J149" s="6">
        <v>1.3080000000000001</v>
      </c>
      <c r="K149" s="5">
        <v>100</v>
      </c>
      <c r="L149" s="5">
        <v>903</v>
      </c>
      <c r="M149" s="6">
        <f t="shared" si="51"/>
        <v>9.0299999999999994</v>
      </c>
      <c r="N149" s="6">
        <v>1.087</v>
      </c>
      <c r="O149" s="5">
        <v>100</v>
      </c>
      <c r="P149"/>
      <c r="Q149" s="5">
        <v>1047</v>
      </c>
      <c r="R149" s="6">
        <f t="shared" si="52"/>
        <v>10.575757575757576</v>
      </c>
      <c r="S149" s="6">
        <v>1.2050000000000001</v>
      </c>
      <c r="T149" s="5">
        <v>99</v>
      </c>
      <c r="U149" s="5">
        <v>345</v>
      </c>
      <c r="V149" s="6">
        <f t="shared" si="53"/>
        <v>3.4848484848484849</v>
      </c>
      <c r="W149" s="7">
        <v>0.59499999999999997</v>
      </c>
      <c r="X149" s="5">
        <v>99</v>
      </c>
      <c r="Z149" s="6">
        <f t="shared" si="54"/>
        <v>1.8615725359911406</v>
      </c>
      <c r="AA149" s="6">
        <f t="shared" si="55"/>
        <v>3.0347826086956524</v>
      </c>
      <c r="AB149" s="11">
        <f t="shared" si="56"/>
        <v>0.63022527998344691</v>
      </c>
      <c r="AC149" t="s">
        <v>39</v>
      </c>
      <c r="AE149" t="s">
        <v>424</v>
      </c>
      <c r="AF149" s="9">
        <v>0.37291666666666662</v>
      </c>
      <c r="AG149" s="9">
        <v>0.44097222222222227</v>
      </c>
      <c r="AH149" s="9">
        <f t="shared" si="57"/>
        <v>6.8055555555555647E-2</v>
      </c>
      <c r="AI149" s="9">
        <f t="shared" si="58"/>
        <v>0.37291666666666662</v>
      </c>
      <c r="AJ149" s="9">
        <v>0.52083333333333337</v>
      </c>
      <c r="AK149" s="9">
        <f t="shared" si="59"/>
        <v>0.14791666666666675</v>
      </c>
      <c r="AM149" t="b">
        <v>1</v>
      </c>
    </row>
    <row r="150" spans="1:39" x14ac:dyDescent="0.3">
      <c r="A150" s="3" t="s">
        <v>350</v>
      </c>
      <c r="B150" t="s">
        <v>351</v>
      </c>
      <c r="C150" t="s">
        <v>29</v>
      </c>
      <c r="D150">
        <v>65</v>
      </c>
      <c r="E150" s="1">
        <v>20206</v>
      </c>
      <c r="F150" s="2">
        <v>44215.433171296296</v>
      </c>
      <c r="G150" t="s">
        <v>30</v>
      </c>
      <c r="H150" s="5">
        <v>4079</v>
      </c>
      <c r="I150" s="6">
        <f t="shared" si="50"/>
        <v>41.202020202020201</v>
      </c>
      <c r="J150" s="6">
        <v>6.85</v>
      </c>
      <c r="K150" s="5">
        <v>99</v>
      </c>
      <c r="L150" s="5">
        <v>2104</v>
      </c>
      <c r="M150" s="6">
        <f t="shared" si="51"/>
        <v>21.252525252525253</v>
      </c>
      <c r="N150" s="6">
        <v>4.9820000000000002</v>
      </c>
      <c r="O150" s="5">
        <v>99</v>
      </c>
      <c r="P150"/>
      <c r="Q150" s="5">
        <v>2951</v>
      </c>
      <c r="R150" s="6">
        <f t="shared" si="52"/>
        <v>29.80808080808081</v>
      </c>
      <c r="S150" s="6">
        <v>5.8710000000000004</v>
      </c>
      <c r="T150" s="5">
        <v>99</v>
      </c>
      <c r="U150" s="5">
        <v>851</v>
      </c>
      <c r="V150" s="6">
        <f t="shared" si="53"/>
        <v>8.5959595959595951</v>
      </c>
      <c r="W150" s="7">
        <v>3.149</v>
      </c>
      <c r="X150" s="5">
        <v>99</v>
      </c>
      <c r="Z150" s="6">
        <f t="shared" si="54"/>
        <v>1.9386882129277565</v>
      </c>
      <c r="AA150" s="6">
        <f t="shared" si="55"/>
        <v>3.4676850763807292</v>
      </c>
      <c r="AB150" s="11">
        <f t="shared" si="56"/>
        <v>0.78867599919221743</v>
      </c>
      <c r="AC150" t="s">
        <v>40</v>
      </c>
      <c r="AE150" t="s">
        <v>424</v>
      </c>
      <c r="AF150" s="9">
        <v>0.38541666666666669</v>
      </c>
      <c r="AG150" s="9">
        <v>0.44444444444444442</v>
      </c>
      <c r="AH150" s="9">
        <f t="shared" si="57"/>
        <v>5.9027777777777735E-2</v>
      </c>
      <c r="AI150" s="9">
        <f t="shared" si="58"/>
        <v>0.38541666666666669</v>
      </c>
      <c r="AJ150" s="9">
        <v>0.53472222222222221</v>
      </c>
      <c r="AK150" s="9">
        <f t="shared" si="59"/>
        <v>0.14930555555555552</v>
      </c>
      <c r="AM150" t="b">
        <v>1</v>
      </c>
    </row>
    <row r="151" spans="1:39" x14ac:dyDescent="0.3">
      <c r="A151" s="3" t="s">
        <v>352</v>
      </c>
      <c r="B151" t="s">
        <v>353</v>
      </c>
      <c r="C151" t="s">
        <v>29</v>
      </c>
      <c r="D151">
        <v>47</v>
      </c>
      <c r="E151" s="1">
        <v>26710</v>
      </c>
      <c r="F151" s="2">
        <v>44215.434849537036</v>
      </c>
      <c r="G151" t="s">
        <v>30</v>
      </c>
      <c r="H151" s="5">
        <v>1349</v>
      </c>
      <c r="I151" s="6">
        <f t="shared" si="50"/>
        <v>13.49</v>
      </c>
      <c r="J151" s="6">
        <v>4.0789999999999997</v>
      </c>
      <c r="K151" s="5">
        <v>100</v>
      </c>
      <c r="L151" s="5">
        <v>726</v>
      </c>
      <c r="M151" s="6">
        <f t="shared" si="51"/>
        <v>7.26</v>
      </c>
      <c r="N151" s="6">
        <v>2.7770000000000001</v>
      </c>
      <c r="O151" s="5">
        <v>100</v>
      </c>
      <c r="P151"/>
      <c r="Q151" s="5">
        <v>975</v>
      </c>
      <c r="R151" s="6">
        <f t="shared" si="52"/>
        <v>9.8484848484848477</v>
      </c>
      <c r="S151" s="6">
        <v>2.95</v>
      </c>
      <c r="T151" s="5">
        <v>99</v>
      </c>
      <c r="U151" s="5">
        <v>363</v>
      </c>
      <c r="V151" s="6">
        <f t="shared" si="53"/>
        <v>3.6666666666666665</v>
      </c>
      <c r="W151" s="6">
        <v>1.6539999999999999</v>
      </c>
      <c r="X151" s="5">
        <v>99</v>
      </c>
      <c r="Z151" s="6">
        <f t="shared" si="54"/>
        <v>1.8581267217630855</v>
      </c>
      <c r="AA151" s="6">
        <f t="shared" si="55"/>
        <v>2.6859504132231402</v>
      </c>
      <c r="AB151" s="11">
        <f t="shared" si="56"/>
        <v>0.44551519644180854</v>
      </c>
      <c r="AC151" t="s">
        <v>31</v>
      </c>
      <c r="AE151" s="14" t="s">
        <v>423</v>
      </c>
      <c r="AF151" s="9">
        <v>0.37013888888888885</v>
      </c>
      <c r="AG151" s="9">
        <v>0.44444444444444442</v>
      </c>
      <c r="AH151" s="9">
        <f t="shared" si="57"/>
        <v>7.4305555555555569E-2</v>
      </c>
      <c r="AI151" s="9">
        <f t="shared" si="58"/>
        <v>0.37013888888888885</v>
      </c>
      <c r="AJ151" s="9">
        <v>0.52083333333333337</v>
      </c>
      <c r="AK151" s="9">
        <f t="shared" si="59"/>
        <v>0.15069444444444452</v>
      </c>
      <c r="AM151" t="b">
        <v>1</v>
      </c>
    </row>
    <row r="152" spans="1:39" x14ac:dyDescent="0.3">
      <c r="A152" s="3" t="s">
        <v>354</v>
      </c>
      <c r="B152" t="s">
        <v>355</v>
      </c>
      <c r="C152" t="s">
        <v>29</v>
      </c>
      <c r="D152">
        <v>52</v>
      </c>
      <c r="E152" s="1">
        <v>24930</v>
      </c>
      <c r="F152" s="2">
        <v>44216.433483796296</v>
      </c>
      <c r="G152" t="s">
        <v>30</v>
      </c>
      <c r="H152" s="5">
        <v>1559</v>
      </c>
      <c r="I152" s="6">
        <f t="shared" si="50"/>
        <v>15.747474747474747</v>
      </c>
      <c r="J152" s="6">
        <v>1.0529999999999999</v>
      </c>
      <c r="K152" s="5">
        <v>99</v>
      </c>
      <c r="L152" s="5">
        <v>753</v>
      </c>
      <c r="M152" s="6">
        <f t="shared" si="51"/>
        <v>7.6060606060606064</v>
      </c>
      <c r="N152" s="6">
        <v>0.65200000000000002</v>
      </c>
      <c r="O152" s="5">
        <v>99</v>
      </c>
      <c r="P152"/>
      <c r="Q152" s="5">
        <v>1085</v>
      </c>
      <c r="R152" s="6">
        <f t="shared" si="52"/>
        <v>10.95959595959596</v>
      </c>
      <c r="S152" s="6">
        <v>1.3089999999999999</v>
      </c>
      <c r="T152" s="5">
        <v>99</v>
      </c>
      <c r="U152" s="5">
        <v>320</v>
      </c>
      <c r="V152" s="6">
        <f t="shared" si="53"/>
        <v>3.2323232323232323</v>
      </c>
      <c r="W152" s="6">
        <v>0.42399999999999999</v>
      </c>
      <c r="X152" s="5">
        <v>99</v>
      </c>
      <c r="Z152" s="6">
        <f t="shared" si="54"/>
        <v>2.0703851261620185</v>
      </c>
      <c r="AA152" s="6">
        <f t="shared" si="55"/>
        <v>3.3906250000000004</v>
      </c>
      <c r="AB152" s="11">
        <f t="shared" si="56"/>
        <v>0.63767839961513817</v>
      </c>
      <c r="AC152" t="s">
        <v>39</v>
      </c>
      <c r="AE152" t="s">
        <v>423</v>
      </c>
      <c r="AF152" s="9">
        <v>0.37777777777777777</v>
      </c>
      <c r="AG152" s="9">
        <v>0.4375</v>
      </c>
      <c r="AH152" s="9">
        <f t="shared" si="57"/>
        <v>5.9722222222222232E-2</v>
      </c>
      <c r="AI152" s="9">
        <f t="shared" si="58"/>
        <v>0.37777777777777777</v>
      </c>
      <c r="AJ152" s="9">
        <v>0.52083333333333337</v>
      </c>
      <c r="AK152" s="9">
        <f t="shared" si="59"/>
        <v>0.1430555555555556</v>
      </c>
      <c r="AM152" t="b">
        <v>1</v>
      </c>
    </row>
    <row r="153" spans="1:39" x14ac:dyDescent="0.3">
      <c r="A153" s="3" t="s">
        <v>356</v>
      </c>
      <c r="B153" t="s">
        <v>357</v>
      </c>
      <c r="C153" t="s">
        <v>29</v>
      </c>
      <c r="D153">
        <v>63</v>
      </c>
      <c r="E153" s="1">
        <v>20877</v>
      </c>
      <c r="F153" s="2">
        <v>44216.421898148146</v>
      </c>
      <c r="G153" t="s">
        <v>30</v>
      </c>
      <c r="H153" s="5">
        <v>3542</v>
      </c>
      <c r="I153" s="6">
        <f t="shared" si="50"/>
        <v>35.777777777777779</v>
      </c>
      <c r="J153" s="6">
        <v>5.7149999999999999</v>
      </c>
      <c r="K153" s="5">
        <v>99</v>
      </c>
      <c r="L153" s="5">
        <v>1667</v>
      </c>
      <c r="M153" s="6">
        <f t="shared" si="51"/>
        <v>16.838383838383837</v>
      </c>
      <c r="N153" s="6">
        <v>4.1520000000000001</v>
      </c>
      <c r="O153" s="5">
        <v>99</v>
      </c>
      <c r="P153"/>
      <c r="Q153" s="5">
        <v>2223</v>
      </c>
      <c r="R153" s="6">
        <f t="shared" si="52"/>
        <v>22.23</v>
      </c>
      <c r="S153" s="6">
        <v>4.5659999999999998</v>
      </c>
      <c r="T153" s="5">
        <v>100</v>
      </c>
      <c r="U153" s="5">
        <v>583</v>
      </c>
      <c r="V153" s="6">
        <f t="shared" si="53"/>
        <v>5.83</v>
      </c>
      <c r="W153" s="6">
        <v>2.5859999999999999</v>
      </c>
      <c r="X153" s="5">
        <v>100</v>
      </c>
      <c r="Z153" s="6">
        <f t="shared" si="54"/>
        <v>2.1247750449910021</v>
      </c>
      <c r="AA153" s="6">
        <f t="shared" si="55"/>
        <v>3.8130360205831906</v>
      </c>
      <c r="AB153" s="11">
        <f t="shared" si="56"/>
        <v>0.79455986626543695</v>
      </c>
      <c r="AC153" t="s">
        <v>40</v>
      </c>
      <c r="AE153" t="s">
        <v>425</v>
      </c>
      <c r="AF153" s="9">
        <v>0.38055555555555554</v>
      </c>
      <c r="AG153" s="9">
        <v>0.44444444444444442</v>
      </c>
      <c r="AH153" s="9">
        <f t="shared" si="57"/>
        <v>6.3888888888888884E-2</v>
      </c>
      <c r="AI153" s="9">
        <f t="shared" si="58"/>
        <v>0.38055555555555554</v>
      </c>
      <c r="AJ153" s="9">
        <v>0.52083333333333337</v>
      </c>
      <c r="AK153" s="9">
        <f t="shared" si="59"/>
        <v>0.14027777777777783</v>
      </c>
      <c r="AM153" t="b">
        <v>1</v>
      </c>
    </row>
    <row r="154" spans="1:39" x14ac:dyDescent="0.3">
      <c r="A154" s="3" t="s">
        <v>358</v>
      </c>
      <c r="B154" t="s">
        <v>359</v>
      </c>
      <c r="C154" t="s">
        <v>52</v>
      </c>
      <c r="D154">
        <v>74</v>
      </c>
      <c r="E154" s="1">
        <v>17111</v>
      </c>
      <c r="F154" s="2">
        <v>44217.401053240741</v>
      </c>
      <c r="G154" t="s">
        <v>30</v>
      </c>
      <c r="H154" s="5">
        <v>2956</v>
      </c>
      <c r="I154" s="6">
        <f t="shared" si="50"/>
        <v>29.56</v>
      </c>
      <c r="J154" s="6">
        <v>5.5620000000000003</v>
      </c>
      <c r="K154" s="5">
        <v>100</v>
      </c>
      <c r="L154" s="5">
        <v>1671</v>
      </c>
      <c r="M154" s="6">
        <f t="shared" si="51"/>
        <v>16.71</v>
      </c>
      <c r="N154" s="6">
        <v>4.4480000000000004</v>
      </c>
      <c r="O154" s="5">
        <v>100</v>
      </c>
      <c r="P154"/>
      <c r="Q154" s="5">
        <v>2249</v>
      </c>
      <c r="R154" s="6">
        <f t="shared" si="52"/>
        <v>22.49</v>
      </c>
      <c r="S154" s="6">
        <v>5.1120000000000001</v>
      </c>
      <c r="T154" s="5">
        <v>100</v>
      </c>
      <c r="U154" s="5">
        <v>978</v>
      </c>
      <c r="V154" s="6">
        <f t="shared" si="53"/>
        <v>9.7799999999999994</v>
      </c>
      <c r="W154" s="6">
        <v>3.6749999999999998</v>
      </c>
      <c r="X154" s="5">
        <v>100</v>
      </c>
      <c r="Z154" s="6">
        <f t="shared" si="54"/>
        <v>1.7690005984440453</v>
      </c>
      <c r="AA154" s="6">
        <f t="shared" si="55"/>
        <v>2.2995910020449899</v>
      </c>
      <c r="AB154" s="11">
        <f t="shared" si="56"/>
        <v>0.29993794466075047</v>
      </c>
      <c r="AC154" t="s">
        <v>40</v>
      </c>
      <c r="AE154" t="s">
        <v>424</v>
      </c>
      <c r="AF154" s="9">
        <v>0.37638888888888888</v>
      </c>
      <c r="AG154" s="9">
        <v>0.44444444444444442</v>
      </c>
      <c r="AH154" s="9">
        <f t="shared" si="57"/>
        <v>6.8055555555555536E-2</v>
      </c>
      <c r="AI154" s="9">
        <f t="shared" si="58"/>
        <v>0.37638888888888888</v>
      </c>
      <c r="AJ154" s="9">
        <v>0.52083333333333337</v>
      </c>
      <c r="AK154" s="9">
        <f t="shared" si="59"/>
        <v>0.14444444444444449</v>
      </c>
      <c r="AM154" t="b">
        <v>1</v>
      </c>
    </row>
    <row r="155" spans="1:39" x14ac:dyDescent="0.3">
      <c r="A155" s="3" t="s">
        <v>360</v>
      </c>
      <c r="B155" t="s">
        <v>361</v>
      </c>
      <c r="C155" t="s">
        <v>29</v>
      </c>
      <c r="D155">
        <v>51</v>
      </c>
      <c r="E155" s="1">
        <v>25265</v>
      </c>
      <c r="F155" s="2">
        <v>44217.439479166664</v>
      </c>
      <c r="G155" t="s">
        <v>30</v>
      </c>
      <c r="H155" s="5">
        <v>2567</v>
      </c>
      <c r="I155" s="6">
        <f t="shared" si="50"/>
        <v>25.929292929292931</v>
      </c>
      <c r="J155" s="6">
        <v>5.3360000000000003</v>
      </c>
      <c r="K155" s="5">
        <v>99</v>
      </c>
      <c r="L155" s="5">
        <v>636</v>
      </c>
      <c r="M155" s="6">
        <f t="shared" si="51"/>
        <v>6.4242424242424239</v>
      </c>
      <c r="N155" s="6">
        <v>2.7149999999999999</v>
      </c>
      <c r="O155" s="5">
        <v>99</v>
      </c>
      <c r="P155"/>
      <c r="Q155" s="5">
        <v>1802</v>
      </c>
      <c r="R155" s="6">
        <f t="shared" si="52"/>
        <v>18.02</v>
      </c>
      <c r="S155" s="6">
        <v>4.3600000000000003</v>
      </c>
      <c r="T155" s="5">
        <v>100</v>
      </c>
      <c r="U155" s="5">
        <v>271</v>
      </c>
      <c r="V155" s="6">
        <f t="shared" si="53"/>
        <v>2.71</v>
      </c>
      <c r="W155" s="6">
        <v>1.4450000000000001</v>
      </c>
      <c r="X155" s="5">
        <v>100</v>
      </c>
      <c r="Z155" s="6">
        <f t="shared" si="54"/>
        <v>4.0361635220125791</v>
      </c>
      <c r="AA155" s="6">
        <f t="shared" si="55"/>
        <v>6.6494464944649447</v>
      </c>
      <c r="AB155" s="11">
        <f t="shared" si="56"/>
        <v>0.64746707069719689</v>
      </c>
      <c r="AC155" t="s">
        <v>31</v>
      </c>
      <c r="AE155" t="s">
        <v>423</v>
      </c>
      <c r="AF155" s="9">
        <v>0.37013888888888885</v>
      </c>
      <c r="AG155" s="9">
        <v>0.44444444444444442</v>
      </c>
      <c r="AH155" s="9">
        <f t="shared" si="57"/>
        <v>7.4305555555555569E-2</v>
      </c>
      <c r="AI155" s="9">
        <f t="shared" si="58"/>
        <v>0.37013888888888885</v>
      </c>
      <c r="AJ155" s="9">
        <v>0.51736111111111105</v>
      </c>
      <c r="AK155" s="9">
        <f t="shared" si="59"/>
        <v>0.1472222222222222</v>
      </c>
      <c r="AM155" t="b">
        <v>1</v>
      </c>
    </row>
    <row r="156" spans="1:39" x14ac:dyDescent="0.3">
      <c r="A156" s="3" t="s">
        <v>481</v>
      </c>
      <c r="B156" t="s">
        <v>362</v>
      </c>
      <c r="C156" t="s">
        <v>52</v>
      </c>
      <c r="D156">
        <v>44</v>
      </c>
      <c r="E156" s="1">
        <v>27902</v>
      </c>
      <c r="F156" s="2">
        <v>44218.431261574071</v>
      </c>
      <c r="G156" t="s">
        <v>30</v>
      </c>
      <c r="H156" s="5">
        <v>1778</v>
      </c>
      <c r="I156" s="6">
        <f t="shared" si="50"/>
        <v>17.78</v>
      </c>
      <c r="J156" s="6">
        <v>1.06</v>
      </c>
      <c r="K156" s="5">
        <v>100</v>
      </c>
      <c r="L156" s="5">
        <v>1125</v>
      </c>
      <c r="M156" s="6">
        <f t="shared" si="51"/>
        <v>11.25</v>
      </c>
      <c r="N156" s="6">
        <v>1.123</v>
      </c>
      <c r="O156" s="5">
        <v>100</v>
      </c>
      <c r="P156"/>
      <c r="Q156" s="5">
        <v>1344</v>
      </c>
      <c r="R156" s="6">
        <f t="shared" si="52"/>
        <v>13.44</v>
      </c>
      <c r="S156" s="6">
        <v>1.085</v>
      </c>
      <c r="T156" s="5">
        <v>100</v>
      </c>
      <c r="U156" s="5">
        <v>471</v>
      </c>
      <c r="V156" s="6">
        <f t="shared" si="53"/>
        <v>4.71</v>
      </c>
      <c r="W156" s="6">
        <v>0.64</v>
      </c>
      <c r="X156" s="5">
        <v>100</v>
      </c>
      <c r="Z156" s="6">
        <f t="shared" si="54"/>
        <v>1.5804444444444445</v>
      </c>
      <c r="AA156" s="6">
        <f t="shared" si="55"/>
        <v>2.8535031847133756</v>
      </c>
      <c r="AB156" s="11">
        <f t="shared" si="56"/>
        <v>0.80550679572696704</v>
      </c>
      <c r="AC156" t="s">
        <v>39</v>
      </c>
      <c r="AE156" t="s">
        <v>423</v>
      </c>
      <c r="AF156" s="9">
        <v>0.37847222222222227</v>
      </c>
      <c r="AG156" s="9">
        <v>0.44444444444444442</v>
      </c>
      <c r="AH156" s="9">
        <f t="shared" si="57"/>
        <v>6.5972222222222154E-2</v>
      </c>
      <c r="AI156" s="9">
        <f t="shared" si="58"/>
        <v>0.37847222222222227</v>
      </c>
      <c r="AJ156" s="9">
        <v>0.51388888888888895</v>
      </c>
      <c r="AK156" s="9">
        <f t="shared" si="59"/>
        <v>0.13541666666666669</v>
      </c>
      <c r="AM156" t="b">
        <v>1</v>
      </c>
    </row>
    <row r="157" spans="1:39" x14ac:dyDescent="0.3">
      <c r="A157" s="3" t="s">
        <v>363</v>
      </c>
      <c r="B157" t="s">
        <v>364</v>
      </c>
      <c r="C157" t="s">
        <v>52</v>
      </c>
      <c r="D157">
        <v>86</v>
      </c>
      <c r="E157" s="1">
        <v>12635</v>
      </c>
      <c r="F157" s="2">
        <v>44218.435613425929</v>
      </c>
      <c r="G157" t="s">
        <v>30</v>
      </c>
      <c r="H157" s="5">
        <v>3649</v>
      </c>
      <c r="I157" s="6">
        <f t="shared" si="50"/>
        <v>36.49</v>
      </c>
      <c r="J157" s="6">
        <v>6.6520000000000001</v>
      </c>
      <c r="K157" s="5">
        <v>100</v>
      </c>
      <c r="L157" s="5">
        <v>2155</v>
      </c>
      <c r="M157" s="6">
        <f t="shared" si="51"/>
        <v>21.55</v>
      </c>
      <c r="N157" s="6">
        <v>5.3890000000000002</v>
      </c>
      <c r="O157" s="5">
        <v>100</v>
      </c>
      <c r="P157"/>
      <c r="Q157" s="5">
        <v>2687</v>
      </c>
      <c r="R157" s="6">
        <f t="shared" si="52"/>
        <v>27.141414141414142</v>
      </c>
      <c r="S157" s="6">
        <v>4.87</v>
      </c>
      <c r="T157" s="5">
        <v>99</v>
      </c>
      <c r="U157" s="5">
        <v>1137</v>
      </c>
      <c r="V157" s="6">
        <f t="shared" si="53"/>
        <v>11.484848484848484</v>
      </c>
      <c r="W157" s="6">
        <v>3.581</v>
      </c>
      <c r="X157" s="5">
        <v>99</v>
      </c>
      <c r="Z157" s="6">
        <f t="shared" si="54"/>
        <v>1.6932714617169373</v>
      </c>
      <c r="AA157" s="6">
        <f t="shared" si="55"/>
        <v>2.3632365875109942</v>
      </c>
      <c r="AB157" s="11">
        <f t="shared" si="56"/>
        <v>0.39566315321627638</v>
      </c>
      <c r="AC157" t="s">
        <v>31</v>
      </c>
      <c r="AE157" t="s">
        <v>424</v>
      </c>
      <c r="AF157" s="9">
        <v>0.375</v>
      </c>
      <c r="AG157" s="9">
        <v>0.44444444444444442</v>
      </c>
      <c r="AH157" s="9">
        <f t="shared" si="57"/>
        <v>6.944444444444442E-2</v>
      </c>
      <c r="AI157" s="9">
        <f t="shared" si="58"/>
        <v>0.375</v>
      </c>
      <c r="AJ157" s="9">
        <v>0.52083333333333337</v>
      </c>
      <c r="AK157" s="9">
        <f t="shared" si="59"/>
        <v>0.14583333333333337</v>
      </c>
      <c r="AM157" t="b">
        <v>1</v>
      </c>
    </row>
    <row r="158" spans="1:39" x14ac:dyDescent="0.3">
      <c r="A158" s="3" t="s">
        <v>365</v>
      </c>
      <c r="B158" t="s">
        <v>366</v>
      </c>
      <c r="C158" t="s">
        <v>29</v>
      </c>
      <c r="D158">
        <v>38</v>
      </c>
      <c r="E158" s="1">
        <v>30199</v>
      </c>
      <c r="F158" s="2">
        <v>44221.442418981482</v>
      </c>
      <c r="G158" t="s">
        <v>30</v>
      </c>
      <c r="H158" s="5">
        <v>1857</v>
      </c>
      <c r="I158" s="6">
        <f t="shared" si="50"/>
        <v>18.57</v>
      </c>
      <c r="J158" s="6">
        <v>3.9340000000000002</v>
      </c>
      <c r="K158" s="5">
        <v>100</v>
      </c>
      <c r="L158" s="5">
        <v>1121</v>
      </c>
      <c r="M158" s="6">
        <f t="shared" si="51"/>
        <v>11.21</v>
      </c>
      <c r="N158" s="6">
        <v>3.8069999999999999</v>
      </c>
      <c r="O158" s="5">
        <v>100</v>
      </c>
      <c r="P158"/>
      <c r="Q158" s="5">
        <v>1168</v>
      </c>
      <c r="R158" s="6">
        <f t="shared" si="52"/>
        <v>11.797979797979798</v>
      </c>
      <c r="S158" s="6">
        <v>3.359</v>
      </c>
      <c r="T158" s="5">
        <v>99</v>
      </c>
      <c r="U158" s="5">
        <v>394</v>
      </c>
      <c r="V158" s="6">
        <f t="shared" si="53"/>
        <v>3.9797979797979797</v>
      </c>
      <c r="W158" s="6">
        <v>2.0499999999999998</v>
      </c>
      <c r="X158" s="5">
        <v>99</v>
      </c>
      <c r="Z158" s="6">
        <f t="shared" si="54"/>
        <v>1.6565566458519179</v>
      </c>
      <c r="AA158" s="6">
        <f t="shared" si="55"/>
        <v>2.9644670050761421</v>
      </c>
      <c r="AB158" s="11">
        <f t="shared" si="56"/>
        <v>0.78953554802927062</v>
      </c>
      <c r="AC158" t="s">
        <v>31</v>
      </c>
      <c r="AE158" t="s">
        <v>423</v>
      </c>
      <c r="AF158" s="9">
        <v>0.3979166666666667</v>
      </c>
      <c r="AG158" s="9">
        <v>0.44444444444444442</v>
      </c>
      <c r="AH158" s="9">
        <f>AG158-AF158</f>
        <v>4.6527777777777724E-2</v>
      </c>
      <c r="AI158" s="9">
        <f>AF158</f>
        <v>0.3979166666666667</v>
      </c>
      <c r="AJ158" s="9">
        <v>0.53472222222222221</v>
      </c>
      <c r="AK158" s="9">
        <f t="shared" si="59"/>
        <v>0.13680555555555551</v>
      </c>
      <c r="AM158" t="b">
        <v>1</v>
      </c>
    </row>
    <row r="159" spans="1:39" x14ac:dyDescent="0.3">
      <c r="A159" s="3" t="s">
        <v>367</v>
      </c>
      <c r="B159" t="s">
        <v>368</v>
      </c>
      <c r="C159" t="s">
        <v>29</v>
      </c>
      <c r="D159">
        <v>47</v>
      </c>
      <c r="E159" s="1">
        <v>26938</v>
      </c>
      <c r="F159" s="2">
        <v>44221.408437500002</v>
      </c>
      <c r="G159" t="s">
        <v>30</v>
      </c>
      <c r="H159" s="5">
        <v>3081</v>
      </c>
      <c r="I159" s="6">
        <f t="shared" si="50"/>
        <v>31.121212121212121</v>
      </c>
      <c r="J159" s="6">
        <v>5.4370000000000003</v>
      </c>
      <c r="K159" s="5">
        <v>99</v>
      </c>
      <c r="L159" s="5">
        <v>1395</v>
      </c>
      <c r="M159" s="6">
        <f t="shared" si="51"/>
        <v>14.090909090909092</v>
      </c>
      <c r="N159" s="6">
        <v>3.734</v>
      </c>
      <c r="O159" s="5">
        <v>99</v>
      </c>
      <c r="P159"/>
      <c r="Q159" s="5">
        <v>2152</v>
      </c>
      <c r="R159" s="6">
        <f t="shared" si="52"/>
        <v>21.737373737373737</v>
      </c>
      <c r="S159" s="6">
        <v>4.4800000000000004</v>
      </c>
      <c r="T159" s="5">
        <v>99</v>
      </c>
      <c r="U159" s="5">
        <v>475</v>
      </c>
      <c r="V159" s="6">
        <f t="shared" si="53"/>
        <v>4.7979797979797976</v>
      </c>
      <c r="W159" s="6">
        <v>2.2360000000000002</v>
      </c>
      <c r="X159" s="5">
        <v>99</v>
      </c>
      <c r="Z159" s="6">
        <f t="shared" si="54"/>
        <v>2.2086021505376343</v>
      </c>
      <c r="AA159" s="6">
        <f t="shared" si="55"/>
        <v>4.5305263157894737</v>
      </c>
      <c r="AB159" s="11">
        <f t="shared" si="56"/>
        <v>1.0513093834879312</v>
      </c>
      <c r="AC159" t="s">
        <v>40</v>
      </c>
      <c r="AE159" t="s">
        <v>424</v>
      </c>
      <c r="AF159" s="9">
        <v>0.39097222222222222</v>
      </c>
      <c r="AG159" s="9">
        <v>0.44444444444444442</v>
      </c>
      <c r="AH159" s="9">
        <f t="shared" ref="AH159:AH222" si="60">AG159-AF159</f>
        <v>5.3472222222222199E-2</v>
      </c>
      <c r="AI159" s="9">
        <f t="shared" ref="AI159:AI222" si="61">AF159</f>
        <v>0.39097222222222222</v>
      </c>
      <c r="AJ159" s="9">
        <v>0.52083333333333337</v>
      </c>
      <c r="AK159" s="9">
        <f t="shared" si="59"/>
        <v>0.12986111111111115</v>
      </c>
      <c r="AM159" t="b">
        <v>1</v>
      </c>
    </row>
    <row r="160" spans="1:39" x14ac:dyDescent="0.3">
      <c r="A160" s="3" t="s">
        <v>369</v>
      </c>
      <c r="B160" t="s">
        <v>370</v>
      </c>
      <c r="C160" t="s">
        <v>29</v>
      </c>
      <c r="D160">
        <v>42</v>
      </c>
      <c r="E160" s="1">
        <v>28614</v>
      </c>
      <c r="F160" s="2">
        <v>44223.397546296299</v>
      </c>
      <c r="G160" t="s">
        <v>30</v>
      </c>
      <c r="H160" s="5">
        <v>2701</v>
      </c>
      <c r="I160" s="6">
        <f t="shared" si="50"/>
        <v>27.282828282828284</v>
      </c>
      <c r="J160" s="6">
        <v>5.1859999999999999</v>
      </c>
      <c r="K160" s="5">
        <v>99</v>
      </c>
      <c r="L160" s="5">
        <v>1648</v>
      </c>
      <c r="M160" s="6">
        <f t="shared" si="51"/>
        <v>16.646464646464647</v>
      </c>
      <c r="N160" s="6">
        <v>4.1239999999999997</v>
      </c>
      <c r="O160" s="5">
        <v>99</v>
      </c>
      <c r="P160"/>
      <c r="Q160" s="5">
        <v>1855</v>
      </c>
      <c r="R160" s="6">
        <f t="shared" si="52"/>
        <v>18.737373737373737</v>
      </c>
      <c r="S160" s="6">
        <v>4.7389999999999999</v>
      </c>
      <c r="T160" s="5">
        <v>99</v>
      </c>
      <c r="U160" s="5">
        <v>794</v>
      </c>
      <c r="V160" s="6">
        <f t="shared" si="53"/>
        <v>8.0202020202020208</v>
      </c>
      <c r="W160" s="6">
        <v>2.7519999999999998</v>
      </c>
      <c r="X160" s="5">
        <v>99</v>
      </c>
      <c r="Z160" s="6">
        <f t="shared" si="54"/>
        <v>1.6389563106796117</v>
      </c>
      <c r="AA160" s="6">
        <f t="shared" si="55"/>
        <v>2.336272040302267</v>
      </c>
      <c r="AB160" s="11">
        <f t="shared" si="56"/>
        <v>0.42546328116184223</v>
      </c>
      <c r="AC160" t="s">
        <v>40</v>
      </c>
      <c r="AE160" t="s">
        <v>424</v>
      </c>
      <c r="AF160" s="9">
        <v>0.38194444444444442</v>
      </c>
      <c r="AG160" s="9">
        <v>0.4375</v>
      </c>
      <c r="AH160" s="9">
        <f t="shared" si="60"/>
        <v>5.555555555555558E-2</v>
      </c>
      <c r="AI160" s="9">
        <f t="shared" si="61"/>
        <v>0.38194444444444442</v>
      </c>
      <c r="AJ160" s="9">
        <v>0.52083333333333337</v>
      </c>
      <c r="AK160" s="9">
        <f t="shared" si="59"/>
        <v>0.13888888888888895</v>
      </c>
      <c r="AM160" t="b">
        <v>1</v>
      </c>
    </row>
    <row r="161" spans="1:39" x14ac:dyDescent="0.3">
      <c r="A161" s="3" t="s">
        <v>371</v>
      </c>
      <c r="B161" t="s">
        <v>372</v>
      </c>
      <c r="C161" t="s">
        <v>29</v>
      </c>
      <c r="D161">
        <v>60</v>
      </c>
      <c r="E161" s="1">
        <v>22250</v>
      </c>
      <c r="F161" s="2">
        <v>44224.397511574076</v>
      </c>
      <c r="G161" t="s">
        <v>30</v>
      </c>
      <c r="H161" s="5">
        <v>4842</v>
      </c>
      <c r="I161" s="6">
        <f t="shared" si="50"/>
        <v>48.909090909090907</v>
      </c>
      <c r="J161" s="6">
        <v>8.3149999999999995</v>
      </c>
      <c r="K161" s="5">
        <v>99</v>
      </c>
      <c r="L161" s="5">
        <v>2809</v>
      </c>
      <c r="M161" s="6">
        <f t="shared" si="51"/>
        <v>28.373737373737374</v>
      </c>
      <c r="N161" s="6">
        <v>5.0979999999999999</v>
      </c>
      <c r="O161" s="5">
        <v>99</v>
      </c>
      <c r="P161"/>
      <c r="Q161" s="5">
        <v>4601</v>
      </c>
      <c r="R161" s="6">
        <f t="shared" si="52"/>
        <v>46.01</v>
      </c>
      <c r="S161" s="6">
        <v>8.4239999999999995</v>
      </c>
      <c r="T161" s="5">
        <v>100</v>
      </c>
      <c r="U161" s="5">
        <v>2025</v>
      </c>
      <c r="V161" s="6">
        <f t="shared" si="53"/>
        <v>20.25</v>
      </c>
      <c r="W161" s="6">
        <v>5.4169999999999998</v>
      </c>
      <c r="X161" s="5">
        <v>100</v>
      </c>
      <c r="Z161" s="6">
        <f t="shared" si="54"/>
        <v>1.7237451050195798</v>
      </c>
      <c r="AA161" s="6">
        <f t="shared" si="55"/>
        <v>2.2720987654320988</v>
      </c>
      <c r="AB161" s="11">
        <f t="shared" si="56"/>
        <v>0.31811760266393346</v>
      </c>
      <c r="AC161" t="s">
        <v>40</v>
      </c>
      <c r="AE161" t="s">
        <v>424</v>
      </c>
      <c r="AF161" s="9">
        <v>0.38680555555555557</v>
      </c>
      <c r="AG161" s="9">
        <v>0.44444444444444442</v>
      </c>
      <c r="AH161" s="9">
        <f t="shared" si="60"/>
        <v>5.7638888888888851E-2</v>
      </c>
      <c r="AI161" s="9">
        <f t="shared" si="61"/>
        <v>0.38680555555555557</v>
      </c>
      <c r="AJ161" s="9">
        <v>0.52083333333333337</v>
      </c>
      <c r="AK161" s="9">
        <f t="shared" si="59"/>
        <v>0.1340277777777778</v>
      </c>
      <c r="AM161" t="b">
        <v>1</v>
      </c>
    </row>
    <row r="162" spans="1:39" x14ac:dyDescent="0.3">
      <c r="A162" s="3" t="s">
        <v>373</v>
      </c>
      <c r="B162" t="s">
        <v>374</v>
      </c>
      <c r="C162" t="s">
        <v>52</v>
      </c>
      <c r="D162">
        <v>69</v>
      </c>
      <c r="E162" s="1">
        <v>19017</v>
      </c>
      <c r="F162" s="2">
        <v>44224.437731481485</v>
      </c>
      <c r="G162" t="s">
        <v>30</v>
      </c>
      <c r="H162" s="5">
        <v>2949</v>
      </c>
      <c r="I162" s="6">
        <f t="shared" si="50"/>
        <v>29.787878787878789</v>
      </c>
      <c r="J162" s="6">
        <v>5.44</v>
      </c>
      <c r="K162" s="5">
        <v>99</v>
      </c>
      <c r="L162" s="5">
        <v>1140</v>
      </c>
      <c r="M162" s="6">
        <f t="shared" si="51"/>
        <v>11.515151515151516</v>
      </c>
      <c r="N162" s="6">
        <v>3.6960000000000002</v>
      </c>
      <c r="O162" s="5">
        <v>99</v>
      </c>
      <c r="P162"/>
      <c r="Q162" s="5">
        <v>2319</v>
      </c>
      <c r="R162" s="6">
        <f t="shared" si="52"/>
        <v>23.424242424242426</v>
      </c>
      <c r="S162" s="6">
        <v>5.0410000000000004</v>
      </c>
      <c r="T162" s="5">
        <v>99</v>
      </c>
      <c r="U162" s="5">
        <v>543</v>
      </c>
      <c r="V162" s="6">
        <f t="shared" si="53"/>
        <v>5.4848484848484844</v>
      </c>
      <c r="W162" s="6">
        <v>2.0569999999999999</v>
      </c>
      <c r="X162" s="5">
        <v>99</v>
      </c>
      <c r="Z162" s="6">
        <f t="shared" si="54"/>
        <v>2.5868421052631581</v>
      </c>
      <c r="AA162" s="6">
        <f t="shared" si="55"/>
        <v>4.2707182320441994</v>
      </c>
      <c r="AB162" s="11">
        <f t="shared" si="56"/>
        <v>0.65093888929480737</v>
      </c>
      <c r="AC162" t="s">
        <v>31</v>
      </c>
      <c r="AE162" s="15" t="s">
        <v>423</v>
      </c>
      <c r="AF162" s="9">
        <v>0.37916666666666665</v>
      </c>
      <c r="AG162" s="9">
        <v>0.44444444444444442</v>
      </c>
      <c r="AH162" s="9">
        <f t="shared" si="60"/>
        <v>6.5277777777777768E-2</v>
      </c>
      <c r="AI162" s="9">
        <f t="shared" si="61"/>
        <v>0.37916666666666665</v>
      </c>
      <c r="AJ162" s="9">
        <v>0.52083333333333337</v>
      </c>
      <c r="AK162" s="9">
        <f t="shared" si="59"/>
        <v>0.14166666666666672</v>
      </c>
      <c r="AM162" t="b">
        <v>1</v>
      </c>
    </row>
    <row r="163" spans="1:39" x14ac:dyDescent="0.3">
      <c r="A163" s="3" t="s">
        <v>375</v>
      </c>
      <c r="B163" t="s">
        <v>376</v>
      </c>
      <c r="C163" t="s">
        <v>29</v>
      </c>
      <c r="D163">
        <v>58</v>
      </c>
      <c r="E163" s="1">
        <v>22710</v>
      </c>
      <c r="F163" s="2">
        <v>44225.42827546296</v>
      </c>
      <c r="G163" t="s">
        <v>30</v>
      </c>
      <c r="H163" s="5">
        <v>2017</v>
      </c>
      <c r="I163" s="6">
        <f t="shared" si="50"/>
        <v>20.373737373737374</v>
      </c>
      <c r="J163" s="6">
        <v>4.7160000000000002</v>
      </c>
      <c r="K163" s="5">
        <v>99</v>
      </c>
      <c r="L163" s="5">
        <v>1095</v>
      </c>
      <c r="M163" s="6">
        <f t="shared" si="51"/>
        <v>11.060606060606061</v>
      </c>
      <c r="N163" s="6">
        <v>3.1909999999999998</v>
      </c>
      <c r="O163" s="5">
        <v>99</v>
      </c>
      <c r="P163"/>
      <c r="Q163" s="5">
        <v>1485</v>
      </c>
      <c r="R163" s="6">
        <f t="shared" si="52"/>
        <v>14.85</v>
      </c>
      <c r="S163" s="6">
        <v>4.45</v>
      </c>
      <c r="T163" s="5">
        <v>100</v>
      </c>
      <c r="U163" s="5">
        <v>397</v>
      </c>
      <c r="V163" s="6">
        <f t="shared" si="53"/>
        <v>3.97</v>
      </c>
      <c r="W163" s="6">
        <v>2.2450000000000001</v>
      </c>
      <c r="X163" s="5">
        <v>100</v>
      </c>
      <c r="Z163" s="6">
        <f t="shared" si="54"/>
        <v>1.8420091324200913</v>
      </c>
      <c r="AA163" s="6">
        <f t="shared" si="55"/>
        <v>3.7405541561712843</v>
      </c>
      <c r="AB163" s="11">
        <f t="shared" si="56"/>
        <v>1.0306925141336423</v>
      </c>
      <c r="AC163" t="s">
        <v>31</v>
      </c>
      <c r="AE163" t="s">
        <v>423</v>
      </c>
      <c r="AF163" s="9">
        <v>0.3833333333333333</v>
      </c>
      <c r="AG163" s="9">
        <v>0.43055555555555558</v>
      </c>
      <c r="AH163" s="9">
        <f t="shared" si="60"/>
        <v>4.7222222222222276E-2</v>
      </c>
      <c r="AI163" s="9">
        <f t="shared" si="61"/>
        <v>0.3833333333333333</v>
      </c>
      <c r="AJ163" s="9">
        <v>0.52083333333333337</v>
      </c>
      <c r="AK163" s="9">
        <f t="shared" si="59"/>
        <v>0.13750000000000007</v>
      </c>
      <c r="AM163" t="b">
        <v>1</v>
      </c>
    </row>
    <row r="164" spans="1:39" x14ac:dyDescent="0.3">
      <c r="A164" s="3" t="s">
        <v>377</v>
      </c>
      <c r="B164" t="s">
        <v>378</v>
      </c>
      <c r="C164" t="s">
        <v>29</v>
      </c>
      <c r="D164">
        <v>63</v>
      </c>
      <c r="E164" s="1">
        <v>20892</v>
      </c>
      <c r="F164" s="2">
        <v>44225.439027777778</v>
      </c>
      <c r="G164" t="s">
        <v>30</v>
      </c>
      <c r="H164" s="5">
        <v>3331</v>
      </c>
      <c r="I164" s="6">
        <f t="shared" si="50"/>
        <v>33.31</v>
      </c>
      <c r="J164" s="6">
        <v>6.1840000000000002</v>
      </c>
      <c r="K164" s="5">
        <v>100</v>
      </c>
      <c r="L164" s="5">
        <v>1150</v>
      </c>
      <c r="M164" s="6">
        <f t="shared" si="51"/>
        <v>11.5</v>
      </c>
      <c r="N164" s="6">
        <v>3.5230000000000001</v>
      </c>
      <c r="O164" s="5">
        <v>100</v>
      </c>
      <c r="P164"/>
      <c r="Q164" s="5">
        <v>2347</v>
      </c>
      <c r="R164" s="6">
        <f t="shared" si="52"/>
        <v>23.47</v>
      </c>
      <c r="S164" s="6">
        <v>5.0220000000000002</v>
      </c>
      <c r="T164" s="5">
        <v>100</v>
      </c>
      <c r="U164" s="5">
        <v>444</v>
      </c>
      <c r="V164" s="6">
        <f t="shared" si="53"/>
        <v>4.4400000000000004</v>
      </c>
      <c r="W164" s="6">
        <v>1.9710000000000001</v>
      </c>
      <c r="X164" s="5">
        <v>100</v>
      </c>
      <c r="Z164" s="6">
        <f t="shared" si="54"/>
        <v>2.896521739130435</v>
      </c>
      <c r="AA164" s="6">
        <f t="shared" si="55"/>
        <v>5.2860360360360357</v>
      </c>
      <c r="AB164" s="11">
        <f t="shared" si="56"/>
        <v>0.82495990436548805</v>
      </c>
      <c r="AC164" t="s">
        <v>31</v>
      </c>
      <c r="AE164" t="s">
        <v>423</v>
      </c>
      <c r="AF164" s="9">
        <v>0.39305555555555555</v>
      </c>
      <c r="AG164" s="9">
        <v>0.44444444444444442</v>
      </c>
      <c r="AH164" s="9">
        <f t="shared" si="60"/>
        <v>5.1388888888888873E-2</v>
      </c>
      <c r="AI164" s="9">
        <f t="shared" si="61"/>
        <v>0.39305555555555555</v>
      </c>
      <c r="AJ164" s="9">
        <v>0.53819444444444442</v>
      </c>
      <c r="AK164" s="9">
        <f t="shared" si="59"/>
        <v>0.14513888888888887</v>
      </c>
      <c r="AM164" t="b">
        <v>1</v>
      </c>
    </row>
    <row r="165" spans="1:39" x14ac:dyDescent="0.3">
      <c r="A165" s="3" t="s">
        <v>379</v>
      </c>
      <c r="B165" t="s">
        <v>380</v>
      </c>
      <c r="C165" t="s">
        <v>29</v>
      </c>
      <c r="D165">
        <v>61</v>
      </c>
      <c r="E165" s="1">
        <v>21924</v>
      </c>
      <c r="F165" s="2">
        <v>44228.422164351854</v>
      </c>
      <c r="G165" t="s">
        <v>30</v>
      </c>
      <c r="H165" s="5">
        <v>4871</v>
      </c>
      <c r="I165" s="6">
        <f>H165/K165</f>
        <v>49.202020202020201</v>
      </c>
      <c r="J165" s="6">
        <v>3.0710000000000002</v>
      </c>
      <c r="K165" s="5">
        <v>99</v>
      </c>
      <c r="L165" s="5">
        <v>3031</v>
      </c>
      <c r="M165" s="6">
        <f>L165/O165</f>
        <v>30.616161616161616</v>
      </c>
      <c r="N165" s="6">
        <v>2.7360000000000002</v>
      </c>
      <c r="O165" s="5">
        <v>99</v>
      </c>
      <c r="P165"/>
      <c r="Q165" s="5">
        <v>4044</v>
      </c>
      <c r="R165" s="6">
        <f>Q165/T165</f>
        <v>40.848484848484851</v>
      </c>
      <c r="S165" s="6">
        <v>2.9359999999999999</v>
      </c>
      <c r="T165" s="5">
        <v>99</v>
      </c>
      <c r="U165" s="5">
        <v>1107</v>
      </c>
      <c r="V165" s="6">
        <f>U165/X165</f>
        <v>11.181818181818182</v>
      </c>
      <c r="W165" s="6">
        <v>1.903</v>
      </c>
      <c r="X165" s="5">
        <v>99</v>
      </c>
      <c r="Z165" s="6">
        <f>I165/M165</f>
        <v>1.6070603761134938</v>
      </c>
      <c r="AA165" s="6">
        <f>R165/V165</f>
        <v>3.653116531165312</v>
      </c>
      <c r="AB165" s="13">
        <f t="shared" ref="AB165:AB184" si="62">(AA165-Z165)/Z165</f>
        <v>1.2731669484627512</v>
      </c>
      <c r="AC165" t="s">
        <v>53</v>
      </c>
      <c r="AE165" t="s">
        <v>425</v>
      </c>
      <c r="AF165" s="9">
        <v>0.39583333333333331</v>
      </c>
      <c r="AG165" s="9">
        <v>0.44444444444444442</v>
      </c>
      <c r="AH165" s="9">
        <f t="shared" si="60"/>
        <v>4.8611111111111105E-2</v>
      </c>
      <c r="AI165" s="9">
        <f t="shared" si="61"/>
        <v>0.39583333333333331</v>
      </c>
      <c r="AJ165" s="9">
        <v>0.51736111111111105</v>
      </c>
      <c r="AK165" s="9">
        <f t="shared" si="59"/>
        <v>0.12152777777777773</v>
      </c>
      <c r="AM165" t="b">
        <v>1</v>
      </c>
    </row>
    <row r="166" spans="1:39" x14ac:dyDescent="0.3">
      <c r="A166" s="3" t="s">
        <v>381</v>
      </c>
      <c r="B166" t="s">
        <v>382</v>
      </c>
      <c r="C166" t="s">
        <v>29</v>
      </c>
      <c r="D166">
        <v>55</v>
      </c>
      <c r="E166" s="1">
        <v>24042</v>
      </c>
      <c r="F166" s="2">
        <v>44229.448275462964</v>
      </c>
      <c r="G166" t="s">
        <v>30</v>
      </c>
      <c r="H166" s="5">
        <v>1706</v>
      </c>
      <c r="I166" s="6">
        <f t="shared" ref="I166:I229" si="63">H166/K166</f>
        <v>17.232323232323232</v>
      </c>
      <c r="J166" s="6">
        <v>4.1769999999999996</v>
      </c>
      <c r="K166" s="5">
        <v>99</v>
      </c>
      <c r="L166" s="5">
        <v>1165</v>
      </c>
      <c r="M166" s="6">
        <f t="shared" ref="M166:M229" si="64">L166/O166</f>
        <v>11.767676767676768</v>
      </c>
      <c r="N166" s="6">
        <v>3.4220000000000002</v>
      </c>
      <c r="O166" s="5">
        <v>99</v>
      </c>
      <c r="P166"/>
      <c r="Q166" s="5">
        <v>1214</v>
      </c>
      <c r="R166" s="6">
        <f t="shared" ref="R166:R229" si="65">Q166/T166</f>
        <v>12.14</v>
      </c>
      <c r="S166" s="6">
        <v>3.254</v>
      </c>
      <c r="T166" s="5">
        <v>100</v>
      </c>
      <c r="U166" s="5">
        <v>548</v>
      </c>
      <c r="V166" s="6">
        <f t="shared" ref="V166:V229" si="66">U166/X166</f>
        <v>5.48</v>
      </c>
      <c r="W166" s="6">
        <v>2.125</v>
      </c>
      <c r="X166" s="5">
        <v>100</v>
      </c>
      <c r="Z166" s="6">
        <f t="shared" ref="Z166:Z229" si="67">I166/M166</f>
        <v>1.4643776824034334</v>
      </c>
      <c r="AA166" s="6">
        <f t="shared" ref="AA166:AA229" si="68">R166/V166</f>
        <v>2.2153284671532845</v>
      </c>
      <c r="AB166" s="13">
        <f t="shared" si="62"/>
        <v>0.51281222991417152</v>
      </c>
      <c r="AC166" t="s">
        <v>31</v>
      </c>
      <c r="AE166" t="s">
        <v>423</v>
      </c>
      <c r="AF166" s="9">
        <v>0.38680555555555557</v>
      </c>
      <c r="AG166" s="9">
        <v>0.44444444444444442</v>
      </c>
      <c r="AH166" s="9">
        <f t="shared" si="60"/>
        <v>5.7638888888888851E-2</v>
      </c>
      <c r="AI166" s="9">
        <f t="shared" si="61"/>
        <v>0.38680555555555557</v>
      </c>
      <c r="AJ166" s="9">
        <v>0.52083333333333337</v>
      </c>
      <c r="AK166" s="9">
        <f t="shared" si="59"/>
        <v>0.1340277777777778</v>
      </c>
      <c r="AM166" t="b">
        <v>1</v>
      </c>
    </row>
    <row r="167" spans="1:39" x14ac:dyDescent="0.3">
      <c r="A167" s="3" t="s">
        <v>383</v>
      </c>
      <c r="B167" t="s">
        <v>384</v>
      </c>
      <c r="C167" t="s">
        <v>29</v>
      </c>
      <c r="D167">
        <v>46</v>
      </c>
      <c r="E167" s="1">
        <v>27396</v>
      </c>
      <c r="F167" s="2">
        <v>44230.436874999999</v>
      </c>
      <c r="G167" t="s">
        <v>30</v>
      </c>
      <c r="H167" s="5">
        <v>1614</v>
      </c>
      <c r="I167" s="6">
        <f t="shared" si="63"/>
        <v>16.14</v>
      </c>
      <c r="J167" s="6">
        <v>4.7649999999999997</v>
      </c>
      <c r="K167" s="5">
        <v>100</v>
      </c>
      <c r="L167" s="5">
        <v>1031</v>
      </c>
      <c r="M167" s="6">
        <f t="shared" si="64"/>
        <v>10.31</v>
      </c>
      <c r="N167" s="6">
        <v>2.9769999999999999</v>
      </c>
      <c r="O167" s="5">
        <v>100</v>
      </c>
      <c r="P167"/>
      <c r="Q167" s="5">
        <v>1012</v>
      </c>
      <c r="R167" s="6">
        <f t="shared" si="65"/>
        <v>10.119999999999999</v>
      </c>
      <c r="S167" s="6">
        <v>3.2040000000000002</v>
      </c>
      <c r="T167" s="5">
        <v>100</v>
      </c>
      <c r="U167" s="5">
        <v>325</v>
      </c>
      <c r="V167" s="6">
        <f t="shared" si="66"/>
        <v>3.25</v>
      </c>
      <c r="W167" s="6">
        <v>1.714</v>
      </c>
      <c r="X167" s="5">
        <v>100</v>
      </c>
      <c r="Z167" s="6">
        <f t="shared" si="67"/>
        <v>1.5654704170708049</v>
      </c>
      <c r="AA167" s="6">
        <f t="shared" si="68"/>
        <v>3.1138461538461537</v>
      </c>
      <c r="AB167" s="13">
        <f t="shared" si="62"/>
        <v>0.98908016395005249</v>
      </c>
      <c r="AC167" t="s">
        <v>31</v>
      </c>
      <c r="AE167" t="s">
        <v>424</v>
      </c>
      <c r="AF167" s="9">
        <v>0.39374999999999999</v>
      </c>
      <c r="AG167" s="9">
        <v>0.44444444444444442</v>
      </c>
      <c r="AH167" s="9">
        <f t="shared" si="60"/>
        <v>5.0694444444444431E-2</v>
      </c>
      <c r="AI167" s="9">
        <f t="shared" si="61"/>
        <v>0.39374999999999999</v>
      </c>
      <c r="AJ167" s="9">
        <v>0.53472222222222221</v>
      </c>
      <c r="AK167" s="9">
        <f t="shared" si="59"/>
        <v>0.14097222222222222</v>
      </c>
      <c r="AM167" t="b">
        <v>1</v>
      </c>
    </row>
    <row r="168" spans="1:39" x14ac:dyDescent="0.3">
      <c r="A168" s="3" t="s">
        <v>385</v>
      </c>
      <c r="B168" t="s">
        <v>386</v>
      </c>
      <c r="C168" t="s">
        <v>29</v>
      </c>
      <c r="D168">
        <v>65</v>
      </c>
      <c r="E168" s="1">
        <v>20188</v>
      </c>
      <c r="F168" s="2">
        <v>44230.418113425927</v>
      </c>
      <c r="G168" t="s">
        <v>30</v>
      </c>
      <c r="H168" s="5">
        <v>1927</v>
      </c>
      <c r="I168" s="6">
        <f t="shared" si="63"/>
        <v>19.464646464646464</v>
      </c>
      <c r="J168" s="6">
        <v>1.534</v>
      </c>
      <c r="K168" s="5">
        <v>99</v>
      </c>
      <c r="L168" s="5">
        <v>1050</v>
      </c>
      <c r="M168" s="6">
        <f t="shared" si="64"/>
        <v>10.606060606060606</v>
      </c>
      <c r="N168" s="6">
        <v>1.028</v>
      </c>
      <c r="O168" s="5">
        <v>99</v>
      </c>
      <c r="P168"/>
      <c r="Q168" s="5">
        <v>1217</v>
      </c>
      <c r="R168" s="6">
        <f t="shared" si="65"/>
        <v>12.17</v>
      </c>
      <c r="S168" s="6">
        <v>1.0349999999999999</v>
      </c>
      <c r="T168" s="5">
        <v>100</v>
      </c>
      <c r="U168" s="5">
        <v>443</v>
      </c>
      <c r="V168" s="6">
        <f t="shared" si="66"/>
        <v>4.43</v>
      </c>
      <c r="W168" s="7">
        <v>0.65500000000000003</v>
      </c>
      <c r="X168" s="5">
        <v>100</v>
      </c>
      <c r="Z168" s="6">
        <f t="shared" si="67"/>
        <v>1.8352380952380953</v>
      </c>
      <c r="AA168" s="6">
        <f t="shared" si="68"/>
        <v>2.7471783295711063</v>
      </c>
      <c r="AB168" s="13">
        <f t="shared" si="62"/>
        <v>0.49690568035789384</v>
      </c>
      <c r="AC168" t="s">
        <v>39</v>
      </c>
      <c r="AE168" t="s">
        <v>423</v>
      </c>
      <c r="AF168" s="9">
        <v>0.38958333333333334</v>
      </c>
      <c r="AG168" s="9">
        <v>0.44444444444444442</v>
      </c>
      <c r="AH168" s="9">
        <f t="shared" si="60"/>
        <v>5.4861111111111083E-2</v>
      </c>
      <c r="AI168" s="9">
        <f t="shared" si="61"/>
        <v>0.38958333333333334</v>
      </c>
      <c r="AJ168" s="9">
        <v>0.52083333333333337</v>
      </c>
      <c r="AK168" s="9">
        <f t="shared" si="59"/>
        <v>0.13125000000000003</v>
      </c>
      <c r="AM168" t="b">
        <v>1</v>
      </c>
    </row>
    <row r="169" spans="1:39" x14ac:dyDescent="0.3">
      <c r="A169" s="3" t="s">
        <v>387</v>
      </c>
      <c r="B169" t="s">
        <v>388</v>
      </c>
      <c r="C169" t="s">
        <v>29</v>
      </c>
      <c r="D169">
        <v>53</v>
      </c>
      <c r="E169" s="1">
        <v>24677</v>
      </c>
      <c r="F169" s="2">
        <v>44231.445451388892</v>
      </c>
      <c r="G169" t="s">
        <v>30</v>
      </c>
      <c r="H169" s="5">
        <v>2091</v>
      </c>
      <c r="I169" s="6">
        <f t="shared" si="63"/>
        <v>20.91</v>
      </c>
      <c r="J169" s="6">
        <v>4.8049999999999997</v>
      </c>
      <c r="K169" s="5">
        <v>100</v>
      </c>
      <c r="L169" s="5">
        <v>803</v>
      </c>
      <c r="M169" s="6">
        <f t="shared" si="64"/>
        <v>8.0299999999999994</v>
      </c>
      <c r="N169" s="6">
        <v>2.7719999999999998</v>
      </c>
      <c r="O169" s="5">
        <v>100</v>
      </c>
      <c r="P169"/>
      <c r="Q169" s="5">
        <v>1575</v>
      </c>
      <c r="R169" s="6">
        <f t="shared" si="65"/>
        <v>15.909090909090908</v>
      </c>
      <c r="S169" s="6">
        <v>4.2140000000000004</v>
      </c>
      <c r="T169" s="5">
        <v>99</v>
      </c>
      <c r="U169" s="5">
        <v>303</v>
      </c>
      <c r="V169" s="6">
        <f t="shared" si="66"/>
        <v>3.0606060606060606</v>
      </c>
      <c r="W169" s="7">
        <v>1.8939999999999999</v>
      </c>
      <c r="X169" s="5">
        <v>99</v>
      </c>
      <c r="Z169" s="6">
        <f t="shared" si="67"/>
        <v>2.6039850560398508</v>
      </c>
      <c r="AA169" s="6">
        <f t="shared" si="68"/>
        <v>5.1980198019801982</v>
      </c>
      <c r="AB169" s="13">
        <f t="shared" si="62"/>
        <v>0.99617881443811518</v>
      </c>
      <c r="AC169" t="s">
        <v>31</v>
      </c>
      <c r="AE169" t="s">
        <v>423</v>
      </c>
      <c r="AF169" s="9">
        <v>0.37013888888888885</v>
      </c>
      <c r="AG169" s="9">
        <v>0.44444444444444442</v>
      </c>
      <c r="AH169" s="9">
        <f t="shared" si="60"/>
        <v>7.4305555555555569E-2</v>
      </c>
      <c r="AI169" s="9">
        <f t="shared" si="61"/>
        <v>0.37013888888888885</v>
      </c>
      <c r="AJ169" s="9">
        <v>0.52083333333333337</v>
      </c>
      <c r="AK169" s="9">
        <f t="shared" si="59"/>
        <v>0.15069444444444452</v>
      </c>
      <c r="AM169" t="b">
        <v>1</v>
      </c>
    </row>
    <row r="170" spans="1:39" x14ac:dyDescent="0.3">
      <c r="A170" s="3" t="s">
        <v>389</v>
      </c>
      <c r="B170" t="s">
        <v>390</v>
      </c>
      <c r="C170" t="s">
        <v>29</v>
      </c>
      <c r="D170">
        <v>54</v>
      </c>
      <c r="E170" s="1">
        <v>24210</v>
      </c>
      <c r="F170" s="2">
        <v>44231.405104166668</v>
      </c>
      <c r="G170" t="s">
        <v>30</v>
      </c>
      <c r="H170" s="5">
        <v>4331</v>
      </c>
      <c r="I170" s="6">
        <f t="shared" si="63"/>
        <v>43.747474747474747</v>
      </c>
      <c r="J170" s="6">
        <v>6.8710000000000004</v>
      </c>
      <c r="K170" s="5">
        <v>99</v>
      </c>
      <c r="L170" s="5">
        <v>1230</v>
      </c>
      <c r="M170" s="6">
        <f t="shared" si="64"/>
        <v>12.424242424242424</v>
      </c>
      <c r="N170" s="6">
        <v>3.8919999999999999</v>
      </c>
      <c r="O170" s="5">
        <v>99</v>
      </c>
      <c r="P170"/>
      <c r="Q170" s="5">
        <v>3030</v>
      </c>
      <c r="R170" s="6">
        <f t="shared" si="65"/>
        <v>30.606060606060606</v>
      </c>
      <c r="S170" s="6">
        <v>5.21</v>
      </c>
      <c r="T170" s="5">
        <v>99</v>
      </c>
      <c r="U170" s="5">
        <v>516</v>
      </c>
      <c r="V170" s="6">
        <f t="shared" si="66"/>
        <v>5.2121212121212119</v>
      </c>
      <c r="W170" s="7">
        <v>2.2189999999999999</v>
      </c>
      <c r="X170" s="5">
        <v>99</v>
      </c>
      <c r="Z170" s="6">
        <f t="shared" si="67"/>
        <v>3.5211382113821141</v>
      </c>
      <c r="AA170" s="6">
        <f t="shared" si="68"/>
        <v>5.8720930232558137</v>
      </c>
      <c r="AB170" s="13">
        <f t="shared" si="62"/>
        <v>0.66766899529084511</v>
      </c>
      <c r="AC170" t="s">
        <v>40</v>
      </c>
      <c r="AE170" t="s">
        <v>424</v>
      </c>
      <c r="AF170" s="9">
        <v>0.37361111111111112</v>
      </c>
      <c r="AG170" s="9">
        <v>0.44444444444444442</v>
      </c>
      <c r="AH170" s="9">
        <f t="shared" si="60"/>
        <v>7.0833333333333304E-2</v>
      </c>
      <c r="AI170" s="9">
        <f t="shared" si="61"/>
        <v>0.37361111111111112</v>
      </c>
      <c r="AJ170" s="9">
        <v>0.52083333333333337</v>
      </c>
      <c r="AK170" s="9">
        <f t="shared" si="59"/>
        <v>0.14722222222222225</v>
      </c>
      <c r="AM170" t="b">
        <v>1</v>
      </c>
    </row>
    <row r="171" spans="1:39" x14ac:dyDescent="0.3">
      <c r="A171" s="3" t="s">
        <v>391</v>
      </c>
      <c r="B171" t="s">
        <v>392</v>
      </c>
      <c r="C171" t="s">
        <v>52</v>
      </c>
      <c r="D171">
        <v>62</v>
      </c>
      <c r="E171" s="1">
        <v>21528</v>
      </c>
      <c r="F171" s="2">
        <v>44232.441053240742</v>
      </c>
      <c r="G171" t="s">
        <v>30</v>
      </c>
      <c r="H171" s="5">
        <v>1460</v>
      </c>
      <c r="I171" s="6">
        <f t="shared" si="63"/>
        <v>14.6</v>
      </c>
      <c r="J171" s="6">
        <v>3.8719999999999999</v>
      </c>
      <c r="K171" s="5">
        <v>100</v>
      </c>
      <c r="L171" s="5">
        <v>912</v>
      </c>
      <c r="M171" s="6">
        <f t="shared" si="64"/>
        <v>9.1199999999999992</v>
      </c>
      <c r="N171" s="6">
        <v>3.379</v>
      </c>
      <c r="O171" s="5">
        <v>100</v>
      </c>
      <c r="P171"/>
      <c r="Q171" s="5">
        <v>917</v>
      </c>
      <c r="R171" s="6">
        <f t="shared" si="65"/>
        <v>9.262626262626263</v>
      </c>
      <c r="S171" s="6">
        <v>3.0590000000000002</v>
      </c>
      <c r="T171" s="5">
        <v>99</v>
      </c>
      <c r="U171" s="5">
        <v>360</v>
      </c>
      <c r="V171" s="6">
        <f t="shared" si="66"/>
        <v>3.6363636363636362</v>
      </c>
      <c r="W171" s="6">
        <v>1.903</v>
      </c>
      <c r="X171" s="5">
        <v>99</v>
      </c>
      <c r="Z171" s="6">
        <f t="shared" si="67"/>
        <v>1.6008771929824563</v>
      </c>
      <c r="AA171" s="6">
        <f t="shared" si="68"/>
        <v>2.5472222222222225</v>
      </c>
      <c r="AB171" s="13">
        <f t="shared" si="62"/>
        <v>0.59114155251141554</v>
      </c>
      <c r="AC171" t="s">
        <v>31</v>
      </c>
      <c r="AE171" t="s">
        <v>425</v>
      </c>
      <c r="AF171" s="9">
        <v>0.3833333333333333</v>
      </c>
      <c r="AG171" s="9">
        <v>0.44444444444444442</v>
      </c>
      <c r="AH171" s="9">
        <f t="shared" si="60"/>
        <v>6.1111111111111116E-2</v>
      </c>
      <c r="AI171" s="9">
        <f t="shared" si="61"/>
        <v>0.3833333333333333</v>
      </c>
      <c r="AJ171" s="9">
        <v>0.53472222222222221</v>
      </c>
      <c r="AK171" s="9">
        <f t="shared" si="59"/>
        <v>0.15138888888888891</v>
      </c>
      <c r="AM171" t="b">
        <v>1</v>
      </c>
    </row>
    <row r="172" spans="1:39" x14ac:dyDescent="0.3">
      <c r="A172" s="3" t="s">
        <v>393</v>
      </c>
      <c r="B172" t="s">
        <v>394</v>
      </c>
      <c r="C172" t="s">
        <v>29</v>
      </c>
      <c r="D172">
        <v>48</v>
      </c>
      <c r="E172" s="1">
        <v>26618</v>
      </c>
      <c r="F172" s="2">
        <v>44232.401226851849</v>
      </c>
      <c r="G172" t="s">
        <v>30</v>
      </c>
      <c r="H172" s="5">
        <v>2590</v>
      </c>
      <c r="I172" s="6">
        <f t="shared" si="63"/>
        <v>25.9</v>
      </c>
      <c r="J172" s="6">
        <v>5.6539999999999999</v>
      </c>
      <c r="K172" s="5">
        <v>100</v>
      </c>
      <c r="L172" s="5">
        <v>1238</v>
      </c>
      <c r="M172" s="6">
        <f t="shared" si="64"/>
        <v>12.38</v>
      </c>
      <c r="N172" s="6">
        <v>3.5779999999999998</v>
      </c>
      <c r="O172" s="5">
        <v>100</v>
      </c>
      <c r="P172"/>
      <c r="Q172" s="5">
        <v>1787</v>
      </c>
      <c r="R172" s="6">
        <f t="shared" si="65"/>
        <v>18.050505050505052</v>
      </c>
      <c r="S172" s="6">
        <v>4.9560000000000004</v>
      </c>
      <c r="T172" s="5">
        <v>99</v>
      </c>
      <c r="U172" s="5">
        <v>475</v>
      </c>
      <c r="V172" s="6">
        <f t="shared" si="66"/>
        <v>4.7979797979797976</v>
      </c>
      <c r="W172" s="6">
        <v>2.0249999999999999</v>
      </c>
      <c r="X172" s="5">
        <v>99</v>
      </c>
      <c r="Z172" s="6">
        <f t="shared" si="67"/>
        <v>2.0920840064620352</v>
      </c>
      <c r="AA172" s="6">
        <f t="shared" si="68"/>
        <v>3.7621052631578955</v>
      </c>
      <c r="AB172" s="13">
        <f t="shared" si="62"/>
        <v>0.79825726478358128</v>
      </c>
      <c r="AC172" t="s">
        <v>40</v>
      </c>
      <c r="AE172" t="s">
        <v>424</v>
      </c>
      <c r="AF172" s="9">
        <v>0.37847222222222227</v>
      </c>
      <c r="AG172" s="9">
        <v>0.44444444444444442</v>
      </c>
      <c r="AH172" s="9">
        <f t="shared" si="60"/>
        <v>6.5972222222222154E-2</v>
      </c>
      <c r="AI172" s="9">
        <f t="shared" si="61"/>
        <v>0.37847222222222227</v>
      </c>
      <c r="AJ172" s="9">
        <v>0.52083333333333337</v>
      </c>
      <c r="AK172" s="9">
        <f t="shared" si="59"/>
        <v>0.1423611111111111</v>
      </c>
      <c r="AM172" t="b">
        <v>1</v>
      </c>
    </row>
    <row r="173" spans="1:39" x14ac:dyDescent="0.3">
      <c r="A173" s="3" t="s">
        <v>395</v>
      </c>
      <c r="B173" t="s">
        <v>396</v>
      </c>
      <c r="C173" t="s">
        <v>29</v>
      </c>
      <c r="D173">
        <v>39</v>
      </c>
      <c r="E173" s="1">
        <v>29684</v>
      </c>
      <c r="F173" s="2">
        <v>44235.436226851853</v>
      </c>
      <c r="G173" t="s">
        <v>30</v>
      </c>
      <c r="H173" s="5">
        <v>1632</v>
      </c>
      <c r="I173" s="6">
        <f t="shared" si="63"/>
        <v>16.484848484848484</v>
      </c>
      <c r="J173" s="6">
        <v>4.2839999999999998</v>
      </c>
      <c r="K173" s="5">
        <v>99</v>
      </c>
      <c r="L173" s="5">
        <v>1040</v>
      </c>
      <c r="M173" s="6">
        <f t="shared" si="64"/>
        <v>10.505050505050505</v>
      </c>
      <c r="N173" s="6">
        <v>3.274</v>
      </c>
      <c r="O173" s="5">
        <v>99</v>
      </c>
      <c r="P173"/>
      <c r="Q173" s="5">
        <v>979</v>
      </c>
      <c r="R173" s="6">
        <f t="shared" si="65"/>
        <v>9.8888888888888893</v>
      </c>
      <c r="S173" s="6">
        <v>3.371</v>
      </c>
      <c r="T173" s="5">
        <v>99</v>
      </c>
      <c r="U173" s="5">
        <v>310</v>
      </c>
      <c r="V173" s="6">
        <f t="shared" si="66"/>
        <v>3.1313131313131315</v>
      </c>
      <c r="W173" s="6">
        <v>1.4750000000000001</v>
      </c>
      <c r="X173" s="5">
        <v>99</v>
      </c>
      <c r="Z173" s="6">
        <f t="shared" si="67"/>
        <v>1.5692307692307692</v>
      </c>
      <c r="AA173" s="6">
        <f t="shared" si="68"/>
        <v>3.1580645161290324</v>
      </c>
      <c r="AB173" s="13">
        <f t="shared" si="62"/>
        <v>1.0124920936116384</v>
      </c>
      <c r="AC173" t="s">
        <v>31</v>
      </c>
      <c r="AE173" t="s">
        <v>423</v>
      </c>
      <c r="AF173" s="9">
        <v>0.39027777777777778</v>
      </c>
      <c r="AG173" s="9">
        <v>0.44444444444444442</v>
      </c>
      <c r="AH173" s="9">
        <f t="shared" si="60"/>
        <v>5.4166666666666641E-2</v>
      </c>
      <c r="AI173" s="9">
        <f t="shared" si="61"/>
        <v>0.39027777777777778</v>
      </c>
      <c r="AJ173" s="9">
        <v>0.53472222222222221</v>
      </c>
      <c r="AK173" s="9">
        <f t="shared" si="59"/>
        <v>0.14444444444444443</v>
      </c>
      <c r="AM173" t="b">
        <v>1</v>
      </c>
    </row>
    <row r="174" spans="1:39" x14ac:dyDescent="0.3">
      <c r="A174" s="3" t="s">
        <v>397</v>
      </c>
      <c r="B174" t="s">
        <v>398</v>
      </c>
      <c r="C174" t="s">
        <v>29</v>
      </c>
      <c r="D174">
        <v>48</v>
      </c>
      <c r="E174" s="1">
        <v>26635</v>
      </c>
      <c r="F174" s="2">
        <v>44236.413784722223</v>
      </c>
      <c r="G174" t="s">
        <v>30</v>
      </c>
      <c r="H174" s="5">
        <v>2541</v>
      </c>
      <c r="I174" s="6">
        <f t="shared" si="63"/>
        <v>25.666666666666668</v>
      </c>
      <c r="J174" s="6">
        <v>5.7750000000000004</v>
      </c>
      <c r="K174" s="5">
        <v>99</v>
      </c>
      <c r="L174" s="5">
        <v>1372</v>
      </c>
      <c r="M174" s="6">
        <f t="shared" si="64"/>
        <v>13.858585858585858</v>
      </c>
      <c r="N174" s="6">
        <v>4.3140000000000001</v>
      </c>
      <c r="O174" s="5">
        <v>99</v>
      </c>
      <c r="P174"/>
      <c r="Q174" s="5">
        <v>1661</v>
      </c>
      <c r="R174" s="6">
        <f t="shared" si="65"/>
        <v>16.61</v>
      </c>
      <c r="S174" s="6">
        <v>4.117</v>
      </c>
      <c r="T174" s="5">
        <v>100</v>
      </c>
      <c r="U174" s="5">
        <v>467</v>
      </c>
      <c r="V174" s="6">
        <f t="shared" si="66"/>
        <v>4.67</v>
      </c>
      <c r="W174" s="7">
        <v>2.5979999999999999</v>
      </c>
      <c r="X174" s="5">
        <v>100</v>
      </c>
      <c r="Z174" s="6">
        <f t="shared" si="67"/>
        <v>1.8520408163265307</v>
      </c>
      <c r="AA174" s="6">
        <f t="shared" si="68"/>
        <v>3.5567451820128477</v>
      </c>
      <c r="AB174" s="13">
        <f t="shared" si="62"/>
        <v>0.92044643436506368</v>
      </c>
      <c r="AC174" t="s">
        <v>40</v>
      </c>
      <c r="AE174" t="s">
        <v>423</v>
      </c>
      <c r="AF174" s="9">
        <v>0.3923611111111111</v>
      </c>
      <c r="AG174" s="9">
        <v>0.44444444444444442</v>
      </c>
      <c r="AH174" s="9">
        <f t="shared" si="60"/>
        <v>5.2083333333333315E-2</v>
      </c>
      <c r="AI174" s="9">
        <f t="shared" si="61"/>
        <v>0.3923611111111111</v>
      </c>
      <c r="AJ174" s="9">
        <v>0.52083333333333337</v>
      </c>
      <c r="AK174" s="9">
        <f t="shared" si="59"/>
        <v>0.12847222222222227</v>
      </c>
      <c r="AM174" t="b">
        <v>1</v>
      </c>
    </row>
    <row r="175" spans="1:39" x14ac:dyDescent="0.3">
      <c r="A175" s="3" t="s">
        <v>399</v>
      </c>
      <c r="B175" t="s">
        <v>400</v>
      </c>
      <c r="C175" t="s">
        <v>52</v>
      </c>
      <c r="D175">
        <v>53</v>
      </c>
      <c r="E175" s="1">
        <v>24743</v>
      </c>
      <c r="F175" s="2">
        <v>44237.439710648148</v>
      </c>
      <c r="G175" t="s">
        <v>30</v>
      </c>
      <c r="H175" s="5">
        <v>1971</v>
      </c>
      <c r="I175" s="6">
        <f t="shared" si="63"/>
        <v>19.90909090909091</v>
      </c>
      <c r="J175" s="6">
        <v>5.1150000000000002</v>
      </c>
      <c r="K175" s="5">
        <v>99</v>
      </c>
      <c r="L175" s="5">
        <v>1076</v>
      </c>
      <c r="M175" s="6">
        <f t="shared" si="64"/>
        <v>10.868686868686869</v>
      </c>
      <c r="N175" s="6">
        <v>3.8719999999999999</v>
      </c>
      <c r="O175" s="5">
        <v>99</v>
      </c>
      <c r="P175"/>
      <c r="Q175" s="5">
        <v>1368</v>
      </c>
      <c r="R175" s="6">
        <f t="shared" si="65"/>
        <v>13.68</v>
      </c>
      <c r="S175" s="6">
        <v>3.3809999999999998</v>
      </c>
      <c r="T175" s="5">
        <v>100</v>
      </c>
      <c r="U175" s="5">
        <v>426</v>
      </c>
      <c r="V175" s="6">
        <f t="shared" si="66"/>
        <v>4.26</v>
      </c>
      <c r="W175" s="7">
        <v>1.7669999999999999</v>
      </c>
      <c r="X175" s="5">
        <v>100</v>
      </c>
      <c r="Z175" s="6">
        <f t="shared" si="67"/>
        <v>1.8317843866171004</v>
      </c>
      <c r="AA175" s="6">
        <f t="shared" si="68"/>
        <v>3.211267605633803</v>
      </c>
      <c r="AB175" s="13">
        <f t="shared" si="62"/>
        <v>0.75308165584067577</v>
      </c>
      <c r="AC175" t="s">
        <v>31</v>
      </c>
      <c r="AE175" t="s">
        <v>424</v>
      </c>
      <c r="AF175" s="9">
        <v>0.37986111111111115</v>
      </c>
      <c r="AG175" s="9">
        <v>0.44444444444444442</v>
      </c>
      <c r="AH175" s="9">
        <f t="shared" si="60"/>
        <v>6.458333333333327E-2</v>
      </c>
      <c r="AI175" s="9">
        <f t="shared" si="61"/>
        <v>0.37986111111111115</v>
      </c>
      <c r="AJ175" s="9">
        <v>0.52083333333333337</v>
      </c>
      <c r="AK175" s="9">
        <f t="shared" si="59"/>
        <v>0.14097222222222222</v>
      </c>
      <c r="AM175" t="b">
        <v>1</v>
      </c>
    </row>
    <row r="176" spans="1:39" x14ac:dyDescent="0.3">
      <c r="A176" s="3" t="s">
        <v>401</v>
      </c>
      <c r="B176" t="s">
        <v>402</v>
      </c>
      <c r="C176" t="s">
        <v>52</v>
      </c>
      <c r="D176">
        <v>70</v>
      </c>
      <c r="E176" s="1">
        <v>18541</v>
      </c>
      <c r="F176" s="2">
        <v>44242.418923611112</v>
      </c>
      <c r="G176" t="s">
        <v>30</v>
      </c>
      <c r="H176" s="5">
        <v>1834</v>
      </c>
      <c r="I176" s="6">
        <f t="shared" si="63"/>
        <v>18.525252525252526</v>
      </c>
      <c r="J176" s="6">
        <v>4.7320000000000002</v>
      </c>
      <c r="K176" s="5">
        <v>99</v>
      </c>
      <c r="L176" s="5">
        <v>1320</v>
      </c>
      <c r="M176" s="6">
        <f t="shared" si="64"/>
        <v>13.333333333333334</v>
      </c>
      <c r="N176" s="6">
        <v>3.9460000000000002</v>
      </c>
      <c r="O176" s="5">
        <v>99</v>
      </c>
      <c r="P176"/>
      <c r="Q176" s="5">
        <v>1223</v>
      </c>
      <c r="R176" s="6">
        <f t="shared" si="65"/>
        <v>12.23</v>
      </c>
      <c r="S176" s="6">
        <v>3.8420000000000001</v>
      </c>
      <c r="T176" s="5">
        <v>100</v>
      </c>
      <c r="U176" s="5">
        <v>420</v>
      </c>
      <c r="V176" s="6">
        <f t="shared" si="66"/>
        <v>4.2</v>
      </c>
      <c r="W176" s="6">
        <v>1.954</v>
      </c>
      <c r="X176" s="5">
        <v>100</v>
      </c>
      <c r="Z176" s="6">
        <f t="shared" si="67"/>
        <v>1.3893939393939394</v>
      </c>
      <c r="AA176" s="6">
        <f t="shared" si="68"/>
        <v>2.9119047619047618</v>
      </c>
      <c r="AB176" s="13">
        <f t="shared" si="62"/>
        <v>1.0958093160928493</v>
      </c>
      <c r="AC176" t="s">
        <v>31</v>
      </c>
      <c r="AE176" s="14" t="s">
        <v>425</v>
      </c>
      <c r="AF176" s="9">
        <v>0.3756944444444445</v>
      </c>
      <c r="AG176" s="9">
        <v>0.4236111111111111</v>
      </c>
      <c r="AH176" s="9">
        <f t="shared" si="60"/>
        <v>4.7916666666666607E-2</v>
      </c>
      <c r="AI176" s="9">
        <f t="shared" si="61"/>
        <v>0.3756944444444445</v>
      </c>
      <c r="AJ176" s="9">
        <v>0.52083333333333337</v>
      </c>
      <c r="AK176" s="9">
        <f t="shared" si="59"/>
        <v>0.14513888888888887</v>
      </c>
      <c r="AM176" t="b">
        <v>1</v>
      </c>
    </row>
    <row r="177" spans="1:39" x14ac:dyDescent="0.3">
      <c r="A177" s="3" t="s">
        <v>403</v>
      </c>
      <c r="B177" t="s">
        <v>404</v>
      </c>
      <c r="C177" t="s">
        <v>29</v>
      </c>
      <c r="D177">
        <v>47</v>
      </c>
      <c r="E177" s="1">
        <v>26767</v>
      </c>
      <c r="F177" s="2">
        <v>44242.41202546296</v>
      </c>
      <c r="G177" t="s">
        <v>30</v>
      </c>
      <c r="H177" s="5">
        <v>3571</v>
      </c>
      <c r="I177" s="6">
        <f t="shared" si="63"/>
        <v>35.71</v>
      </c>
      <c r="J177" s="6">
        <v>5.5620000000000003</v>
      </c>
      <c r="K177" s="5">
        <v>100</v>
      </c>
      <c r="L177" s="5">
        <v>2364</v>
      </c>
      <c r="M177" s="6">
        <f t="shared" si="64"/>
        <v>23.64</v>
      </c>
      <c r="N177" s="6">
        <v>5.6520000000000001</v>
      </c>
      <c r="O177" s="5">
        <v>100</v>
      </c>
      <c r="P177"/>
      <c r="Q177" s="5">
        <v>2364</v>
      </c>
      <c r="R177" s="6">
        <f t="shared" si="65"/>
        <v>23.878787878787879</v>
      </c>
      <c r="S177" s="6">
        <v>5.6189999999999998</v>
      </c>
      <c r="T177" s="5">
        <v>99</v>
      </c>
      <c r="U177" s="5">
        <v>979</v>
      </c>
      <c r="V177" s="6">
        <f t="shared" si="66"/>
        <v>9.8888888888888893</v>
      </c>
      <c r="W177" s="6">
        <v>2.8959999999999999</v>
      </c>
      <c r="X177" s="5">
        <v>99</v>
      </c>
      <c r="Z177" s="6">
        <f t="shared" si="67"/>
        <v>1.510575296108291</v>
      </c>
      <c r="AA177" s="6">
        <f t="shared" si="68"/>
        <v>2.4147088866189987</v>
      </c>
      <c r="AB177" s="13">
        <f t="shared" si="62"/>
        <v>0.59853593054251275</v>
      </c>
      <c r="AC177" t="s">
        <v>40</v>
      </c>
      <c r="AE177" t="s">
        <v>423</v>
      </c>
      <c r="AF177" s="9">
        <v>0.40277777777777773</v>
      </c>
      <c r="AG177" s="9">
        <v>0.44444444444444442</v>
      </c>
      <c r="AH177" s="9">
        <f t="shared" si="60"/>
        <v>4.1666666666666685E-2</v>
      </c>
      <c r="AI177" s="9">
        <f t="shared" si="61"/>
        <v>0.40277777777777773</v>
      </c>
      <c r="AJ177" s="9">
        <v>0.53472222222222221</v>
      </c>
      <c r="AK177" s="9">
        <f t="shared" si="59"/>
        <v>0.13194444444444448</v>
      </c>
      <c r="AM177" t="b">
        <v>1</v>
      </c>
    </row>
    <row r="178" spans="1:39" x14ac:dyDescent="0.3">
      <c r="A178" s="3" t="s">
        <v>405</v>
      </c>
      <c r="B178" t="s">
        <v>406</v>
      </c>
      <c r="C178" t="s">
        <v>29</v>
      </c>
      <c r="D178">
        <v>44</v>
      </c>
      <c r="E178" s="1">
        <v>27928</v>
      </c>
      <c r="F178" s="2">
        <v>44243.425659722219</v>
      </c>
      <c r="G178" t="s">
        <v>30</v>
      </c>
      <c r="H178" s="5">
        <v>4016</v>
      </c>
      <c r="I178" s="6">
        <f t="shared" si="63"/>
        <v>40.159999999999997</v>
      </c>
      <c r="J178" s="6">
        <v>1.83</v>
      </c>
      <c r="K178" s="5">
        <v>100</v>
      </c>
      <c r="L178" s="5">
        <v>2337</v>
      </c>
      <c r="M178" s="6">
        <f t="shared" si="64"/>
        <v>23.37</v>
      </c>
      <c r="N178" s="6">
        <v>1.8129999999999999</v>
      </c>
      <c r="O178" s="5">
        <v>100</v>
      </c>
      <c r="P178"/>
      <c r="Q178" s="5">
        <v>2288</v>
      </c>
      <c r="R178" s="6">
        <f t="shared" si="65"/>
        <v>23.111111111111111</v>
      </c>
      <c r="S178" s="6">
        <v>2.0649999999999999</v>
      </c>
      <c r="T178" s="5">
        <v>99</v>
      </c>
      <c r="U178" s="5">
        <v>749</v>
      </c>
      <c r="V178" s="6">
        <f t="shared" si="66"/>
        <v>7.5656565656565657</v>
      </c>
      <c r="W178" s="6">
        <v>1.117</v>
      </c>
      <c r="X178" s="5">
        <v>99</v>
      </c>
      <c r="Z178" s="6">
        <f t="shared" si="67"/>
        <v>1.7184424475823703</v>
      </c>
      <c r="AA178" s="6">
        <f t="shared" si="68"/>
        <v>3.0547396528704938</v>
      </c>
      <c r="AB178" s="13">
        <f t="shared" si="62"/>
        <v>0.7776211575593488</v>
      </c>
      <c r="AC178" t="s">
        <v>53</v>
      </c>
      <c r="AE178" s="15" t="s">
        <v>424</v>
      </c>
      <c r="AF178" s="9">
        <v>0.3888888888888889</v>
      </c>
      <c r="AG178" s="9">
        <v>0.4375</v>
      </c>
      <c r="AH178" s="9">
        <f t="shared" si="60"/>
        <v>4.8611111111111105E-2</v>
      </c>
      <c r="AI178" s="9">
        <f t="shared" si="61"/>
        <v>0.3888888888888889</v>
      </c>
      <c r="AJ178" s="9">
        <v>0.51388888888888895</v>
      </c>
      <c r="AK178" s="9">
        <f t="shared" si="59"/>
        <v>0.12500000000000006</v>
      </c>
      <c r="AM178" t="b">
        <v>1</v>
      </c>
    </row>
    <row r="179" spans="1:39" x14ac:dyDescent="0.3">
      <c r="A179" s="3" t="s">
        <v>407</v>
      </c>
      <c r="B179" t="s">
        <v>408</v>
      </c>
      <c r="C179" t="s">
        <v>29</v>
      </c>
      <c r="D179">
        <v>51</v>
      </c>
      <c r="E179" s="1">
        <v>25403</v>
      </c>
      <c r="F179" s="2">
        <v>44245.430300925924</v>
      </c>
      <c r="G179" t="s">
        <v>30</v>
      </c>
      <c r="H179" s="5">
        <v>2680</v>
      </c>
      <c r="I179" s="6">
        <f t="shared" si="63"/>
        <v>27.070707070707069</v>
      </c>
      <c r="J179" s="6">
        <v>1.7569999999999999</v>
      </c>
      <c r="K179" s="5">
        <v>99</v>
      </c>
      <c r="L179" s="5">
        <v>1921</v>
      </c>
      <c r="M179" s="6">
        <f t="shared" si="64"/>
        <v>19.404040404040405</v>
      </c>
      <c r="N179" s="6">
        <v>1.3160000000000001</v>
      </c>
      <c r="O179" s="5">
        <v>99</v>
      </c>
      <c r="P179"/>
      <c r="Q179" s="5">
        <v>1572</v>
      </c>
      <c r="R179" s="6">
        <f t="shared" si="65"/>
        <v>15.72</v>
      </c>
      <c r="S179" s="6">
        <v>1.4079999999999999</v>
      </c>
      <c r="T179" s="5">
        <v>100</v>
      </c>
      <c r="U179" s="5">
        <v>671</v>
      </c>
      <c r="V179" s="6">
        <f t="shared" si="66"/>
        <v>6.71</v>
      </c>
      <c r="W179" s="6">
        <v>0.998</v>
      </c>
      <c r="X179" s="5">
        <v>100</v>
      </c>
      <c r="Z179" s="6">
        <f t="shared" si="67"/>
        <v>1.3951067152524725</v>
      </c>
      <c r="AA179" s="6">
        <f t="shared" si="68"/>
        <v>2.3427719821162447</v>
      </c>
      <c r="AB179" s="13">
        <f t="shared" si="62"/>
        <v>0.67927797673332335</v>
      </c>
      <c r="AC179" t="s">
        <v>39</v>
      </c>
      <c r="AE179" t="s">
        <v>423</v>
      </c>
      <c r="AF179" s="9">
        <v>0.39861111111111108</v>
      </c>
      <c r="AG179" s="9">
        <v>0.44444444444444442</v>
      </c>
      <c r="AH179" s="9">
        <f t="shared" si="60"/>
        <v>4.5833333333333337E-2</v>
      </c>
      <c r="AI179" s="9">
        <f t="shared" si="61"/>
        <v>0.39861111111111108</v>
      </c>
      <c r="AJ179" s="9">
        <v>0.53472222222222221</v>
      </c>
      <c r="AK179" s="9">
        <f t="shared" si="59"/>
        <v>0.13611111111111113</v>
      </c>
      <c r="AM179" t="b">
        <v>1</v>
      </c>
    </row>
    <row r="180" spans="1:39" x14ac:dyDescent="0.3">
      <c r="A180" s="3" t="s">
        <v>409</v>
      </c>
      <c r="B180" t="s">
        <v>410</v>
      </c>
      <c r="C180" t="s">
        <v>29</v>
      </c>
      <c r="D180">
        <v>45</v>
      </c>
      <c r="E180" s="1">
        <v>27565</v>
      </c>
      <c r="F180" s="2">
        <v>44250.435393518521</v>
      </c>
      <c r="G180" t="s">
        <v>30</v>
      </c>
      <c r="H180" s="5">
        <v>1645</v>
      </c>
      <c r="I180" s="6">
        <f t="shared" si="63"/>
        <v>16.616161616161616</v>
      </c>
      <c r="J180" s="6">
        <v>4.9930000000000003</v>
      </c>
      <c r="K180" s="5">
        <v>99</v>
      </c>
      <c r="L180" s="5">
        <v>1056</v>
      </c>
      <c r="M180" s="6">
        <f t="shared" si="64"/>
        <v>10.666666666666666</v>
      </c>
      <c r="N180" s="6">
        <v>3.3650000000000002</v>
      </c>
      <c r="O180" s="5">
        <v>99</v>
      </c>
      <c r="P180"/>
      <c r="Q180" s="5">
        <v>1124</v>
      </c>
      <c r="R180" s="6">
        <f t="shared" si="65"/>
        <v>11.353535353535353</v>
      </c>
      <c r="S180" s="6">
        <v>3.6320000000000001</v>
      </c>
      <c r="T180" s="5">
        <v>99</v>
      </c>
      <c r="U180" s="5">
        <v>379</v>
      </c>
      <c r="V180" s="6">
        <f t="shared" si="66"/>
        <v>3.8282828282828283</v>
      </c>
      <c r="W180" s="6">
        <v>1.8680000000000001</v>
      </c>
      <c r="X180" s="5">
        <v>99</v>
      </c>
      <c r="Z180" s="6">
        <f t="shared" si="67"/>
        <v>1.5577651515151516</v>
      </c>
      <c r="AA180" s="6">
        <f t="shared" si="68"/>
        <v>2.9656992084432714</v>
      </c>
      <c r="AB180" s="13">
        <f t="shared" si="62"/>
        <v>0.90381663472103002</v>
      </c>
      <c r="AC180" t="s">
        <v>31</v>
      </c>
      <c r="AE180" s="14" t="s">
        <v>423</v>
      </c>
      <c r="AF180" s="9">
        <v>0.37291666666666662</v>
      </c>
      <c r="AG180" s="9">
        <v>0.44444444444444442</v>
      </c>
      <c r="AH180" s="9">
        <f t="shared" si="60"/>
        <v>7.1527777777777801E-2</v>
      </c>
      <c r="AI180" s="9">
        <f t="shared" si="61"/>
        <v>0.37291666666666662</v>
      </c>
      <c r="AJ180" s="9">
        <v>0.52083333333333337</v>
      </c>
      <c r="AK180" s="9">
        <f t="shared" si="59"/>
        <v>0.14791666666666675</v>
      </c>
      <c r="AM180" t="b">
        <v>1</v>
      </c>
    </row>
    <row r="181" spans="1:39" x14ac:dyDescent="0.3">
      <c r="A181" s="3" t="s">
        <v>411</v>
      </c>
      <c r="B181" t="s">
        <v>412</v>
      </c>
      <c r="C181" t="s">
        <v>29</v>
      </c>
      <c r="D181">
        <v>51</v>
      </c>
      <c r="E181" s="1">
        <v>25587</v>
      </c>
      <c r="F181" s="2">
        <v>44250.409062500003</v>
      </c>
      <c r="G181" t="s">
        <v>30</v>
      </c>
      <c r="H181" s="5">
        <v>3157</v>
      </c>
      <c r="I181" s="6">
        <f t="shared" si="63"/>
        <v>31.57</v>
      </c>
      <c r="J181" s="6">
        <v>5.4459999999999997</v>
      </c>
      <c r="K181" s="5">
        <v>100</v>
      </c>
      <c r="L181" s="5">
        <v>1498</v>
      </c>
      <c r="M181" s="6">
        <f t="shared" si="64"/>
        <v>14.98</v>
      </c>
      <c r="N181" s="6">
        <v>3.6240000000000001</v>
      </c>
      <c r="O181" s="5">
        <v>100</v>
      </c>
      <c r="P181"/>
      <c r="Q181" s="5">
        <v>2135</v>
      </c>
      <c r="R181" s="6">
        <f t="shared" si="65"/>
        <v>21.565656565656564</v>
      </c>
      <c r="S181" s="6">
        <v>4.758</v>
      </c>
      <c r="T181" s="5">
        <v>99</v>
      </c>
      <c r="U181" s="5">
        <v>546</v>
      </c>
      <c r="V181" s="6">
        <f t="shared" si="66"/>
        <v>5.5151515151515156</v>
      </c>
      <c r="W181" s="6">
        <v>2.0670000000000002</v>
      </c>
      <c r="X181" s="5">
        <v>99</v>
      </c>
      <c r="Z181" s="6">
        <f t="shared" si="67"/>
        <v>2.1074766355140189</v>
      </c>
      <c r="AA181" s="6">
        <f t="shared" si="68"/>
        <v>3.9102564102564097</v>
      </c>
      <c r="AB181" s="13">
        <f t="shared" si="62"/>
        <v>0.85542100176246472</v>
      </c>
      <c r="AC181" t="s">
        <v>40</v>
      </c>
      <c r="AE181" t="s">
        <v>424</v>
      </c>
      <c r="AF181" s="9">
        <v>0.375</v>
      </c>
      <c r="AG181" s="9">
        <v>0.42708333333333331</v>
      </c>
      <c r="AH181" s="9">
        <f t="shared" si="60"/>
        <v>5.2083333333333315E-2</v>
      </c>
      <c r="AI181" s="9">
        <f t="shared" si="61"/>
        <v>0.375</v>
      </c>
      <c r="AJ181" s="9">
        <v>0.52083333333333337</v>
      </c>
      <c r="AK181" s="9">
        <f t="shared" si="59"/>
        <v>0.14583333333333337</v>
      </c>
      <c r="AM181" t="b">
        <v>1</v>
      </c>
    </row>
    <row r="182" spans="1:39" x14ac:dyDescent="0.3">
      <c r="A182" s="3" t="s">
        <v>413</v>
      </c>
      <c r="B182" t="s">
        <v>414</v>
      </c>
      <c r="C182" t="s">
        <v>52</v>
      </c>
      <c r="D182">
        <v>20</v>
      </c>
      <c r="E182" s="1">
        <v>36634</v>
      </c>
      <c r="F182" s="2">
        <v>44251.437858796293</v>
      </c>
      <c r="G182" t="s">
        <v>30</v>
      </c>
      <c r="H182" s="5">
        <v>1337</v>
      </c>
      <c r="I182" s="6">
        <f t="shared" si="63"/>
        <v>13.505050505050505</v>
      </c>
      <c r="J182" s="6">
        <v>4.1630000000000003</v>
      </c>
      <c r="K182" s="5">
        <v>99</v>
      </c>
      <c r="L182" s="5">
        <v>695</v>
      </c>
      <c r="M182" s="6">
        <f t="shared" si="64"/>
        <v>7.0202020202020199</v>
      </c>
      <c r="N182" s="6">
        <v>2.5310000000000001</v>
      </c>
      <c r="O182" s="5">
        <v>99</v>
      </c>
      <c r="P182"/>
      <c r="Q182" s="5">
        <v>844</v>
      </c>
      <c r="R182" s="6">
        <f t="shared" si="65"/>
        <v>8.525252525252526</v>
      </c>
      <c r="S182" s="6">
        <v>2.9249999999999998</v>
      </c>
      <c r="T182" s="5">
        <v>99</v>
      </c>
      <c r="U182" s="5">
        <v>274</v>
      </c>
      <c r="V182" s="6">
        <f t="shared" si="66"/>
        <v>2.7676767676767677</v>
      </c>
      <c r="W182" s="6">
        <v>1.8620000000000001</v>
      </c>
      <c r="X182" s="5">
        <v>99</v>
      </c>
      <c r="Z182" s="6">
        <f t="shared" si="67"/>
        <v>1.9237410071942447</v>
      </c>
      <c r="AA182" s="6">
        <f t="shared" si="68"/>
        <v>3.0802919708029197</v>
      </c>
      <c r="AB182" s="13">
        <f t="shared" si="62"/>
        <v>0.60119889282575101</v>
      </c>
      <c r="AC182" t="s">
        <v>31</v>
      </c>
      <c r="AE182" s="14" t="s">
        <v>424</v>
      </c>
      <c r="AF182" s="9">
        <v>0.37986111111111115</v>
      </c>
      <c r="AG182" s="9">
        <v>0.44444444444444442</v>
      </c>
      <c r="AH182" s="9">
        <f t="shared" si="60"/>
        <v>6.458333333333327E-2</v>
      </c>
      <c r="AI182" s="9">
        <f t="shared" si="61"/>
        <v>0.37986111111111115</v>
      </c>
      <c r="AJ182" s="9">
        <v>0.53472222222222221</v>
      </c>
      <c r="AK182" s="9">
        <f t="shared" si="59"/>
        <v>0.15486111111111106</v>
      </c>
      <c r="AM182" t="b">
        <v>1</v>
      </c>
    </row>
    <row r="183" spans="1:39" x14ac:dyDescent="0.3">
      <c r="A183" s="3" t="s">
        <v>415</v>
      </c>
      <c r="B183" t="s">
        <v>416</v>
      </c>
      <c r="C183" t="s">
        <v>29</v>
      </c>
      <c r="D183">
        <v>61</v>
      </c>
      <c r="E183" s="1">
        <v>21828</v>
      </c>
      <c r="F183" s="2">
        <v>44252.435925925929</v>
      </c>
      <c r="G183" t="s">
        <v>30</v>
      </c>
      <c r="H183" s="5">
        <v>3110</v>
      </c>
      <c r="I183" s="6">
        <f t="shared" si="63"/>
        <v>31.1</v>
      </c>
      <c r="J183" s="6">
        <v>5.8609999999999998</v>
      </c>
      <c r="K183" s="5">
        <v>100</v>
      </c>
      <c r="L183" s="5">
        <v>1104</v>
      </c>
      <c r="M183" s="6">
        <f t="shared" si="64"/>
        <v>11.04</v>
      </c>
      <c r="N183" s="6">
        <v>3.3660000000000001</v>
      </c>
      <c r="O183" s="5">
        <v>100</v>
      </c>
      <c r="P183"/>
      <c r="Q183" s="5">
        <v>1927</v>
      </c>
      <c r="R183" s="6">
        <f t="shared" si="65"/>
        <v>19.464646464646464</v>
      </c>
      <c r="S183" s="6">
        <v>4.5270000000000001</v>
      </c>
      <c r="T183" s="5">
        <v>99</v>
      </c>
      <c r="U183" s="5">
        <v>440</v>
      </c>
      <c r="V183" s="6">
        <f t="shared" si="66"/>
        <v>4.4444444444444446</v>
      </c>
      <c r="W183" s="6">
        <v>2.528</v>
      </c>
      <c r="X183" s="5">
        <v>99</v>
      </c>
      <c r="Z183" s="6">
        <f t="shared" si="67"/>
        <v>2.8170289855072466</v>
      </c>
      <c r="AA183" s="6">
        <f t="shared" si="68"/>
        <v>4.379545454545454</v>
      </c>
      <c r="AB183" s="13">
        <f t="shared" si="62"/>
        <v>0.55466822566500995</v>
      </c>
      <c r="AC183" t="s">
        <v>31</v>
      </c>
      <c r="AE183" t="s">
        <v>423</v>
      </c>
      <c r="AF183" s="9">
        <v>0.375</v>
      </c>
      <c r="AG183" s="9">
        <v>0.44444444444444442</v>
      </c>
      <c r="AH183" s="9">
        <f t="shared" si="60"/>
        <v>6.944444444444442E-2</v>
      </c>
      <c r="AI183" s="9">
        <f t="shared" si="61"/>
        <v>0.375</v>
      </c>
      <c r="AJ183" s="9">
        <v>0.52083333333333337</v>
      </c>
      <c r="AK183" s="9">
        <f t="shared" si="59"/>
        <v>0.14583333333333337</v>
      </c>
      <c r="AM183" t="b">
        <v>1</v>
      </c>
    </row>
    <row r="184" spans="1:39" x14ac:dyDescent="0.3">
      <c r="A184" s="3" t="s">
        <v>417</v>
      </c>
      <c r="B184" t="s">
        <v>418</v>
      </c>
      <c r="C184" t="s">
        <v>29</v>
      </c>
      <c r="D184">
        <v>46</v>
      </c>
      <c r="E184" s="1">
        <v>27298</v>
      </c>
      <c r="F184" s="2">
        <v>44253.410231481481</v>
      </c>
      <c r="G184" t="s">
        <v>30</v>
      </c>
      <c r="H184" s="5">
        <v>2233</v>
      </c>
      <c r="I184" s="6">
        <f t="shared" si="63"/>
        <v>22.555555555555557</v>
      </c>
      <c r="J184" s="6">
        <v>4.6189999999999998</v>
      </c>
      <c r="K184" s="5">
        <v>99</v>
      </c>
      <c r="L184" s="5">
        <v>1315</v>
      </c>
      <c r="M184" s="6">
        <f t="shared" si="64"/>
        <v>13.282828282828282</v>
      </c>
      <c r="N184" s="6">
        <v>4.1360000000000001</v>
      </c>
      <c r="O184" s="5">
        <v>99</v>
      </c>
      <c r="P184"/>
      <c r="Q184" s="5">
        <v>1312</v>
      </c>
      <c r="R184" s="6">
        <f t="shared" si="65"/>
        <v>13.252525252525253</v>
      </c>
      <c r="S184" s="6">
        <v>3.45</v>
      </c>
      <c r="T184" s="5">
        <v>99</v>
      </c>
      <c r="U184" s="5">
        <v>480</v>
      </c>
      <c r="V184" s="6">
        <f t="shared" si="66"/>
        <v>4.8484848484848486</v>
      </c>
      <c r="W184" s="6">
        <v>2.14</v>
      </c>
      <c r="X184" s="5">
        <v>99</v>
      </c>
      <c r="Z184" s="6">
        <f t="shared" si="67"/>
        <v>1.6980988593155897</v>
      </c>
      <c r="AA184" s="6">
        <f t="shared" si="68"/>
        <v>2.7333333333333334</v>
      </c>
      <c r="AB184" s="13">
        <f t="shared" si="62"/>
        <v>0.60964323033288526</v>
      </c>
      <c r="AC184" t="s">
        <v>40</v>
      </c>
      <c r="AE184" s="14" t="s">
        <v>424</v>
      </c>
      <c r="AF184" s="9">
        <v>0.39583333333333331</v>
      </c>
      <c r="AG184" s="9">
        <v>0.44444444444444442</v>
      </c>
      <c r="AH184" s="9">
        <f t="shared" si="60"/>
        <v>4.8611111111111105E-2</v>
      </c>
      <c r="AI184" s="9">
        <f t="shared" si="61"/>
        <v>0.39583333333333331</v>
      </c>
      <c r="AJ184" s="9">
        <v>0.53125</v>
      </c>
      <c r="AK184" s="9">
        <f t="shared" si="59"/>
        <v>0.13541666666666669</v>
      </c>
      <c r="AM184" t="b">
        <v>1</v>
      </c>
    </row>
    <row r="185" spans="1:39" x14ac:dyDescent="0.3">
      <c r="A185" s="3" t="s">
        <v>427</v>
      </c>
      <c r="B185" t="s">
        <v>428</v>
      </c>
      <c r="C185" t="s">
        <v>29</v>
      </c>
      <c r="D185">
        <v>55</v>
      </c>
      <c r="E185" s="1">
        <v>23884</v>
      </c>
      <c r="F185" s="2">
        <v>44257.440370370372</v>
      </c>
      <c r="G185" t="s">
        <v>30</v>
      </c>
      <c r="H185" s="5">
        <v>2243</v>
      </c>
      <c r="I185" s="6">
        <f t="shared" si="63"/>
        <v>22.656565656565657</v>
      </c>
      <c r="J185" s="6">
        <v>5.0830000000000002</v>
      </c>
      <c r="K185" s="5">
        <v>99</v>
      </c>
      <c r="L185" s="5">
        <v>1020</v>
      </c>
      <c r="M185" s="6">
        <f t="shared" si="64"/>
        <v>10.303030303030303</v>
      </c>
      <c r="N185" s="6">
        <v>3.6179999999999999</v>
      </c>
      <c r="O185" s="5">
        <v>99</v>
      </c>
      <c r="P185"/>
      <c r="Q185" s="5">
        <v>1676</v>
      </c>
      <c r="R185" s="6">
        <f t="shared" si="65"/>
        <v>16.760000000000002</v>
      </c>
      <c r="S185" s="6">
        <v>1.464</v>
      </c>
      <c r="T185" s="5">
        <v>100</v>
      </c>
      <c r="U185" s="5">
        <v>297</v>
      </c>
      <c r="V185" s="6">
        <f t="shared" si="66"/>
        <v>2.97</v>
      </c>
      <c r="W185" s="6">
        <v>0.68799999999999994</v>
      </c>
      <c r="X185" s="5">
        <v>100</v>
      </c>
      <c r="Z185" s="6">
        <f t="shared" si="67"/>
        <v>2.1990196078431374</v>
      </c>
      <c r="AA185" s="6">
        <f t="shared" si="68"/>
        <v>5.6430976430976436</v>
      </c>
      <c r="AB185" s="13">
        <f t="shared" ref="AB185:AB209" si="69">(AA185-Z185)/Z185</f>
        <v>1.5661879607488167</v>
      </c>
      <c r="AC185" t="s">
        <v>31</v>
      </c>
      <c r="AE185" s="14" t="s">
        <v>477</v>
      </c>
      <c r="AF185" s="9">
        <v>0.37638888888888888</v>
      </c>
      <c r="AG185" s="9">
        <v>0.44444444444444442</v>
      </c>
      <c r="AH185" s="9">
        <f t="shared" si="60"/>
        <v>6.8055555555555536E-2</v>
      </c>
      <c r="AI185" s="9">
        <f t="shared" si="61"/>
        <v>0.37638888888888888</v>
      </c>
      <c r="AJ185" s="9">
        <v>0.52083333333333337</v>
      </c>
      <c r="AK185" s="9">
        <f t="shared" si="59"/>
        <v>0.14444444444444449</v>
      </c>
      <c r="AM185" t="b">
        <v>1</v>
      </c>
    </row>
    <row r="186" spans="1:39" x14ac:dyDescent="0.3">
      <c r="A186" s="3" t="s">
        <v>429</v>
      </c>
      <c r="B186" t="s">
        <v>430</v>
      </c>
      <c r="C186" t="s">
        <v>52</v>
      </c>
      <c r="D186">
        <v>51</v>
      </c>
      <c r="E186" s="1">
        <v>25368</v>
      </c>
      <c r="F186" s="2">
        <v>44257.426724537036</v>
      </c>
      <c r="G186" t="s">
        <v>30</v>
      </c>
      <c r="H186" s="5">
        <v>1947</v>
      </c>
      <c r="I186" s="6">
        <f t="shared" si="63"/>
        <v>19.47</v>
      </c>
      <c r="J186" s="6">
        <v>3.702</v>
      </c>
      <c r="K186" s="5">
        <v>100</v>
      </c>
      <c r="L186" s="5">
        <v>1328</v>
      </c>
      <c r="M186" s="6">
        <f t="shared" si="64"/>
        <v>13.28</v>
      </c>
      <c r="N186" s="6">
        <v>3.7469999999999999</v>
      </c>
      <c r="O186" s="5">
        <v>100</v>
      </c>
      <c r="P186"/>
      <c r="Q186" s="5">
        <v>1565</v>
      </c>
      <c r="R186" s="6">
        <f t="shared" si="65"/>
        <v>15.808080808080808</v>
      </c>
      <c r="S186" s="6">
        <v>4.0170000000000003</v>
      </c>
      <c r="T186" s="5">
        <v>99</v>
      </c>
      <c r="U186" s="5">
        <v>607</v>
      </c>
      <c r="V186" s="6">
        <f t="shared" si="66"/>
        <v>6.1313131313131315</v>
      </c>
      <c r="W186" s="6">
        <v>2.452</v>
      </c>
      <c r="X186" s="5">
        <v>99</v>
      </c>
      <c r="Z186" s="6">
        <f t="shared" si="67"/>
        <v>1.4661144578313252</v>
      </c>
      <c r="AA186" s="6">
        <f t="shared" si="68"/>
        <v>2.5782537067545306</v>
      </c>
      <c r="AB186" s="13">
        <f t="shared" si="69"/>
        <v>0.75856236392913035</v>
      </c>
      <c r="AC186" t="s">
        <v>40</v>
      </c>
      <c r="AE186" s="14" t="s">
        <v>478</v>
      </c>
      <c r="AF186" s="9">
        <v>0.39097222222222222</v>
      </c>
      <c r="AG186" s="9">
        <v>0.44444444444444442</v>
      </c>
      <c r="AH186" s="9">
        <f t="shared" si="60"/>
        <v>5.3472222222222199E-2</v>
      </c>
      <c r="AI186" s="9">
        <f t="shared" si="61"/>
        <v>0.39097222222222222</v>
      </c>
      <c r="AJ186" s="9">
        <v>0.52083333333333337</v>
      </c>
      <c r="AK186" s="9">
        <f t="shared" si="59"/>
        <v>0.12986111111111115</v>
      </c>
      <c r="AM186" t="b">
        <v>1</v>
      </c>
    </row>
    <row r="187" spans="1:39" x14ac:dyDescent="0.3">
      <c r="A187" s="3" t="s">
        <v>431</v>
      </c>
      <c r="B187" t="s">
        <v>432</v>
      </c>
      <c r="C187" t="s">
        <v>29</v>
      </c>
      <c r="D187">
        <v>53</v>
      </c>
      <c r="E187" s="1">
        <v>24902</v>
      </c>
      <c r="F187" s="2">
        <v>44264.434942129628</v>
      </c>
      <c r="G187" t="s">
        <v>30</v>
      </c>
      <c r="H187" s="5">
        <v>3349</v>
      </c>
      <c r="I187" s="6">
        <f t="shared" si="63"/>
        <v>33.828282828282831</v>
      </c>
      <c r="J187" s="6">
        <v>6.46</v>
      </c>
      <c r="K187" s="5">
        <v>99</v>
      </c>
      <c r="L187" s="5">
        <v>1454</v>
      </c>
      <c r="M187" s="6">
        <f t="shared" si="64"/>
        <v>14.686868686868687</v>
      </c>
      <c r="N187" s="6">
        <v>4.3929999999999998</v>
      </c>
      <c r="O187" s="5">
        <v>99</v>
      </c>
      <c r="P187"/>
      <c r="Q187" s="5">
        <v>2605</v>
      </c>
      <c r="R187" s="6">
        <f t="shared" si="65"/>
        <v>26.05</v>
      </c>
      <c r="S187" s="6">
        <v>5.5979999999999999</v>
      </c>
      <c r="T187" s="5">
        <v>100</v>
      </c>
      <c r="U187" s="5">
        <v>505</v>
      </c>
      <c r="V187" s="6">
        <f t="shared" si="66"/>
        <v>5.05</v>
      </c>
      <c r="W187" s="6">
        <v>2.3879999999999999</v>
      </c>
      <c r="X187" s="5">
        <v>100</v>
      </c>
      <c r="Z187" s="6">
        <f t="shared" si="67"/>
        <v>2.3033012379642366</v>
      </c>
      <c r="AA187" s="6">
        <f t="shared" si="68"/>
        <v>5.1584158415841586</v>
      </c>
      <c r="AB187" s="13">
        <f t="shared" si="69"/>
        <v>1.2395749876570219</v>
      </c>
      <c r="AC187" t="s">
        <v>40</v>
      </c>
      <c r="AE187" s="14" t="s">
        <v>477</v>
      </c>
      <c r="AF187" s="9">
        <v>0.3923611111111111</v>
      </c>
      <c r="AG187" s="9">
        <v>0.44444444444444442</v>
      </c>
      <c r="AH187" s="9">
        <f t="shared" si="60"/>
        <v>5.2083333333333315E-2</v>
      </c>
      <c r="AI187" s="9">
        <f t="shared" si="61"/>
        <v>0.3923611111111111</v>
      </c>
      <c r="AJ187" s="9">
        <v>0.53472222222222221</v>
      </c>
      <c r="AK187" s="9">
        <f t="shared" si="59"/>
        <v>0.1423611111111111</v>
      </c>
      <c r="AM187" t="b">
        <v>1</v>
      </c>
    </row>
    <row r="188" spans="1:39" x14ac:dyDescent="0.3">
      <c r="A188" s="3" t="s">
        <v>433</v>
      </c>
      <c r="B188" t="s">
        <v>434</v>
      </c>
      <c r="C188" t="s">
        <v>29</v>
      </c>
      <c r="D188">
        <v>49</v>
      </c>
      <c r="E188" s="1">
        <v>26343</v>
      </c>
      <c r="F188" s="2">
        <v>44264.443124999998</v>
      </c>
      <c r="G188" t="s">
        <v>30</v>
      </c>
      <c r="H188" s="5">
        <v>2173</v>
      </c>
      <c r="I188" s="6">
        <f t="shared" si="63"/>
        <v>21.949494949494948</v>
      </c>
      <c r="J188" s="6">
        <v>5.4119999999999999</v>
      </c>
      <c r="K188" s="5">
        <v>99</v>
      </c>
      <c r="L188" s="5">
        <v>862</v>
      </c>
      <c r="M188" s="6">
        <f t="shared" si="64"/>
        <v>8.7070707070707076</v>
      </c>
      <c r="N188" s="6">
        <v>2.7749999999999999</v>
      </c>
      <c r="O188" s="5">
        <v>99</v>
      </c>
      <c r="P188"/>
      <c r="Q188" s="5">
        <v>1607</v>
      </c>
      <c r="R188" s="6">
        <f t="shared" si="65"/>
        <v>16.232323232323232</v>
      </c>
      <c r="S188" s="6">
        <v>4.0220000000000002</v>
      </c>
      <c r="T188" s="5">
        <v>99</v>
      </c>
      <c r="U188" s="5">
        <v>402</v>
      </c>
      <c r="V188" s="6">
        <f t="shared" si="66"/>
        <v>4.0606060606060606</v>
      </c>
      <c r="W188" s="7">
        <v>2.1800000000000002</v>
      </c>
      <c r="X188" s="5">
        <v>99</v>
      </c>
      <c r="Z188" s="6">
        <f t="shared" si="67"/>
        <v>2.5208816705336425</v>
      </c>
      <c r="AA188" s="6">
        <f t="shared" si="68"/>
        <v>3.9975124378109452</v>
      </c>
      <c r="AB188" s="13">
        <f t="shared" si="69"/>
        <v>0.5857596508941717</v>
      </c>
      <c r="AC188" t="s">
        <v>31</v>
      </c>
      <c r="AE188" s="14" t="s">
        <v>477</v>
      </c>
      <c r="AF188" s="9">
        <v>0.37638888888888888</v>
      </c>
      <c r="AG188" s="9">
        <v>0.44444444444444442</v>
      </c>
      <c r="AH188" s="9">
        <f t="shared" si="60"/>
        <v>6.8055555555555536E-2</v>
      </c>
      <c r="AI188" s="9">
        <f t="shared" si="61"/>
        <v>0.37638888888888888</v>
      </c>
      <c r="AJ188" s="9">
        <v>0.52083333333333337</v>
      </c>
      <c r="AK188" s="9">
        <f t="shared" si="59"/>
        <v>0.14444444444444449</v>
      </c>
      <c r="AM188" t="b">
        <v>1</v>
      </c>
    </row>
    <row r="189" spans="1:39" x14ac:dyDescent="0.3">
      <c r="A189" s="3" t="s">
        <v>435</v>
      </c>
      <c r="B189" t="s">
        <v>436</v>
      </c>
      <c r="C189" t="s">
        <v>29</v>
      </c>
      <c r="D189">
        <v>60</v>
      </c>
      <c r="E189" s="1">
        <v>22000</v>
      </c>
      <c r="F189" s="2">
        <v>44265.44159722222</v>
      </c>
      <c r="G189" t="s">
        <v>30</v>
      </c>
      <c r="H189" s="5">
        <v>2439</v>
      </c>
      <c r="I189" s="6">
        <f t="shared" si="63"/>
        <v>24.636363636363637</v>
      </c>
      <c r="J189" s="6">
        <v>1.619</v>
      </c>
      <c r="K189" s="5">
        <v>99</v>
      </c>
      <c r="L189" s="5">
        <v>853</v>
      </c>
      <c r="M189" s="6">
        <f t="shared" si="64"/>
        <v>8.6161616161616159</v>
      </c>
      <c r="N189" s="6">
        <v>1.0660000000000001</v>
      </c>
      <c r="O189" s="5">
        <v>99</v>
      </c>
      <c r="P189"/>
      <c r="Q189" s="5">
        <v>1780</v>
      </c>
      <c r="R189" s="6">
        <f t="shared" si="65"/>
        <v>17.979797979797979</v>
      </c>
      <c r="S189" s="6">
        <v>1.484</v>
      </c>
      <c r="T189" s="5">
        <v>99</v>
      </c>
      <c r="U189" s="5">
        <v>400</v>
      </c>
      <c r="V189" s="6">
        <f t="shared" si="66"/>
        <v>4.0404040404040407</v>
      </c>
      <c r="W189" s="7">
        <v>0.74099999999999999</v>
      </c>
      <c r="X189" s="5">
        <v>99</v>
      </c>
      <c r="Z189" s="6">
        <f t="shared" si="67"/>
        <v>2.859320046893318</v>
      </c>
      <c r="AA189" s="6">
        <f t="shared" si="68"/>
        <v>4.4499999999999993</v>
      </c>
      <c r="AB189" s="13">
        <f t="shared" si="69"/>
        <v>0.55631406314063103</v>
      </c>
      <c r="AC189" t="s">
        <v>39</v>
      </c>
      <c r="AE189" s="14" t="s">
        <v>478</v>
      </c>
      <c r="AF189" s="9">
        <v>0.37222222222222223</v>
      </c>
      <c r="AG189" s="9">
        <v>0.44444444444444442</v>
      </c>
      <c r="AH189" s="9">
        <f t="shared" si="60"/>
        <v>7.2222222222222188E-2</v>
      </c>
      <c r="AI189" s="9">
        <f t="shared" si="61"/>
        <v>0.37222222222222223</v>
      </c>
      <c r="AJ189" s="9">
        <v>0.52083333333333337</v>
      </c>
      <c r="AK189" s="9">
        <f t="shared" si="59"/>
        <v>0.14861111111111114</v>
      </c>
      <c r="AM189" t="b">
        <v>1</v>
      </c>
    </row>
    <row r="190" spans="1:39" x14ac:dyDescent="0.3">
      <c r="A190" s="3" t="s">
        <v>437</v>
      </c>
      <c r="B190" t="s">
        <v>438</v>
      </c>
      <c r="C190" t="s">
        <v>29</v>
      </c>
      <c r="D190">
        <v>58</v>
      </c>
      <c r="E190" s="1">
        <v>22829</v>
      </c>
      <c r="F190" s="2">
        <v>44267.432905092595</v>
      </c>
      <c r="G190" t="s">
        <v>30</v>
      </c>
      <c r="H190" s="5">
        <v>2446</v>
      </c>
      <c r="I190" s="6">
        <f t="shared" si="63"/>
        <v>24.707070707070706</v>
      </c>
      <c r="J190" s="6">
        <v>5.3440000000000003</v>
      </c>
      <c r="K190" s="5">
        <v>99</v>
      </c>
      <c r="L190" s="5">
        <v>1752</v>
      </c>
      <c r="M190" s="6">
        <f t="shared" si="64"/>
        <v>17.696969696969695</v>
      </c>
      <c r="N190" s="6">
        <v>3.786</v>
      </c>
      <c r="O190" s="5">
        <v>99</v>
      </c>
      <c r="P190"/>
      <c r="Q190" s="5">
        <v>1739</v>
      </c>
      <c r="R190" s="6">
        <f t="shared" si="65"/>
        <v>17.565656565656564</v>
      </c>
      <c r="S190" s="6">
        <v>4.2930000000000001</v>
      </c>
      <c r="T190" s="5">
        <v>99</v>
      </c>
      <c r="U190" s="5">
        <v>796</v>
      </c>
      <c r="V190" s="6">
        <f t="shared" si="66"/>
        <v>8.0404040404040398</v>
      </c>
      <c r="W190" s="7">
        <v>2.5430000000000001</v>
      </c>
      <c r="X190" s="5">
        <v>99</v>
      </c>
      <c r="Z190" s="6">
        <f t="shared" si="67"/>
        <v>1.3961187214611872</v>
      </c>
      <c r="AA190" s="6">
        <f t="shared" si="68"/>
        <v>2.1846733668341707</v>
      </c>
      <c r="AB190" s="13">
        <f t="shared" si="69"/>
        <v>0.56481918998097591</v>
      </c>
      <c r="AC190" t="s">
        <v>31</v>
      </c>
      <c r="AE190" s="14" t="s">
        <v>478</v>
      </c>
      <c r="AF190" s="9">
        <v>0.37708333333333338</v>
      </c>
      <c r="AG190" s="9">
        <v>0.44444444444444442</v>
      </c>
      <c r="AH190" s="9">
        <f t="shared" si="60"/>
        <v>6.7361111111111038E-2</v>
      </c>
      <c r="AI190" s="9">
        <f t="shared" si="61"/>
        <v>0.37708333333333338</v>
      </c>
      <c r="AJ190" s="9">
        <v>0.52083333333333337</v>
      </c>
      <c r="AK190" s="9">
        <f t="shared" si="59"/>
        <v>0.14374999999999999</v>
      </c>
      <c r="AM190" t="b">
        <v>1</v>
      </c>
    </row>
    <row r="191" spans="1:39" x14ac:dyDescent="0.3">
      <c r="A191" s="3" t="s">
        <v>439</v>
      </c>
      <c r="B191" t="s">
        <v>440</v>
      </c>
      <c r="C191" t="s">
        <v>52</v>
      </c>
      <c r="D191">
        <v>55</v>
      </c>
      <c r="E191" s="1">
        <v>24057</v>
      </c>
      <c r="F191" s="2">
        <v>44267.426886574074</v>
      </c>
      <c r="G191" t="s">
        <v>30</v>
      </c>
      <c r="H191" s="5">
        <v>2727</v>
      </c>
      <c r="I191" s="6">
        <f t="shared" si="63"/>
        <v>27.545454545454547</v>
      </c>
      <c r="J191" s="6">
        <v>5.6719999999999997</v>
      </c>
      <c r="K191" s="5">
        <v>99</v>
      </c>
      <c r="L191" s="5">
        <v>1303</v>
      </c>
      <c r="M191" s="6">
        <f t="shared" si="64"/>
        <v>13.161616161616161</v>
      </c>
      <c r="N191" s="6">
        <v>3.536</v>
      </c>
      <c r="O191" s="5">
        <v>99</v>
      </c>
      <c r="P191"/>
      <c r="Q191" s="5">
        <v>1965</v>
      </c>
      <c r="R191" s="6">
        <f t="shared" si="65"/>
        <v>19.848484848484848</v>
      </c>
      <c r="S191" s="6">
        <v>4.2869999999999999</v>
      </c>
      <c r="T191" s="5">
        <v>99</v>
      </c>
      <c r="U191" s="5">
        <v>623</v>
      </c>
      <c r="V191" s="6">
        <f t="shared" si="66"/>
        <v>6.2929292929292933</v>
      </c>
      <c r="W191" s="6">
        <v>2.883</v>
      </c>
      <c r="X191" s="5">
        <v>99</v>
      </c>
      <c r="Z191" s="6">
        <f t="shared" si="67"/>
        <v>2.0928626247122026</v>
      </c>
      <c r="AA191" s="6">
        <f t="shared" si="68"/>
        <v>3.1540930979133224</v>
      </c>
      <c r="AB191" s="13">
        <f t="shared" si="69"/>
        <v>0.50707125287167543</v>
      </c>
      <c r="AC191" t="s">
        <v>40</v>
      </c>
      <c r="AE191" s="14" t="s">
        <v>479</v>
      </c>
      <c r="AF191" s="9">
        <v>0.38055555555555554</v>
      </c>
      <c r="AG191" s="9">
        <v>0.44305555555555554</v>
      </c>
      <c r="AH191" s="9">
        <f t="shared" si="60"/>
        <v>6.25E-2</v>
      </c>
      <c r="AI191" s="9">
        <f t="shared" si="61"/>
        <v>0.38055555555555554</v>
      </c>
      <c r="AJ191" s="9">
        <v>0.52083333333333337</v>
      </c>
      <c r="AK191" s="9">
        <f t="shared" si="59"/>
        <v>0.14027777777777783</v>
      </c>
      <c r="AM191" t="b">
        <v>1</v>
      </c>
    </row>
    <row r="192" spans="1:39" x14ac:dyDescent="0.3">
      <c r="A192" s="3" t="s">
        <v>441</v>
      </c>
      <c r="B192" t="s">
        <v>442</v>
      </c>
      <c r="C192" t="s">
        <v>29</v>
      </c>
      <c r="D192">
        <v>52</v>
      </c>
      <c r="E192" s="1">
        <v>25036</v>
      </c>
      <c r="F192" s="2">
        <v>44271.426307870373</v>
      </c>
      <c r="G192" t="s">
        <v>30</v>
      </c>
      <c r="H192" s="5">
        <v>1802</v>
      </c>
      <c r="I192" s="6">
        <f t="shared" si="63"/>
        <v>18.02</v>
      </c>
      <c r="J192" s="6">
        <v>4.7779999999999996</v>
      </c>
      <c r="K192" s="5">
        <v>100</v>
      </c>
      <c r="L192" s="5">
        <v>1009</v>
      </c>
      <c r="M192" s="6">
        <f t="shared" si="64"/>
        <v>10.09</v>
      </c>
      <c r="N192" s="6">
        <v>3.2629999999999999</v>
      </c>
      <c r="O192" s="5">
        <v>100</v>
      </c>
      <c r="P192"/>
      <c r="Q192" s="5">
        <v>1268</v>
      </c>
      <c r="R192" s="6">
        <f t="shared" si="65"/>
        <v>12.808080808080808</v>
      </c>
      <c r="S192" s="6">
        <v>3.8380000000000001</v>
      </c>
      <c r="T192" s="5">
        <v>99</v>
      </c>
      <c r="U192" s="5">
        <v>327</v>
      </c>
      <c r="V192" s="6">
        <f t="shared" si="66"/>
        <v>3.3030303030303032</v>
      </c>
      <c r="W192" s="6">
        <v>1.764</v>
      </c>
      <c r="X192" s="5">
        <v>99</v>
      </c>
      <c r="Z192" s="6">
        <f t="shared" si="67"/>
        <v>1.7859266600594648</v>
      </c>
      <c r="AA192" s="6">
        <f t="shared" si="68"/>
        <v>3.877675840978593</v>
      </c>
      <c r="AB192" s="13">
        <f t="shared" si="69"/>
        <v>1.1712402461417317</v>
      </c>
      <c r="AC192" t="s">
        <v>31</v>
      </c>
      <c r="AE192" s="14" t="s">
        <v>478</v>
      </c>
      <c r="AF192" s="9">
        <v>0.37708333333333338</v>
      </c>
      <c r="AG192" s="9">
        <v>0.43055555555555558</v>
      </c>
      <c r="AH192" s="9">
        <f t="shared" si="60"/>
        <v>5.3472222222222199E-2</v>
      </c>
      <c r="AI192" s="9">
        <f t="shared" si="61"/>
        <v>0.37708333333333338</v>
      </c>
      <c r="AJ192" s="9">
        <v>0.52083333333333337</v>
      </c>
      <c r="AK192" s="9">
        <f t="shared" si="59"/>
        <v>0.14374999999999999</v>
      </c>
      <c r="AM192" t="b">
        <v>1</v>
      </c>
    </row>
    <row r="193" spans="1:39" x14ac:dyDescent="0.3">
      <c r="A193" s="3" t="s">
        <v>443</v>
      </c>
      <c r="B193" t="s">
        <v>444</v>
      </c>
      <c r="C193" t="s">
        <v>52</v>
      </c>
      <c r="D193">
        <v>64</v>
      </c>
      <c r="E193" s="1">
        <v>20729</v>
      </c>
      <c r="F193" s="2">
        <v>44271.422326388885</v>
      </c>
      <c r="G193" t="s">
        <v>30</v>
      </c>
      <c r="H193" s="5">
        <v>3393</v>
      </c>
      <c r="I193" s="6">
        <f t="shared" si="63"/>
        <v>33.93</v>
      </c>
      <c r="J193" s="6">
        <v>6.7270000000000003</v>
      </c>
      <c r="K193" s="5">
        <v>100</v>
      </c>
      <c r="L193" s="5">
        <v>1549</v>
      </c>
      <c r="M193" s="6">
        <f t="shared" si="64"/>
        <v>15.49</v>
      </c>
      <c r="N193" s="6">
        <v>4.0359999999999996</v>
      </c>
      <c r="O193" s="5">
        <v>100</v>
      </c>
      <c r="P193"/>
      <c r="Q193" s="5">
        <v>2371</v>
      </c>
      <c r="R193" s="6">
        <f t="shared" si="65"/>
        <v>23.949494949494948</v>
      </c>
      <c r="S193" s="6">
        <v>6.16</v>
      </c>
      <c r="T193" s="5">
        <v>99</v>
      </c>
      <c r="U193" s="5">
        <v>704</v>
      </c>
      <c r="V193" s="6">
        <f t="shared" si="66"/>
        <v>7.1111111111111107</v>
      </c>
      <c r="W193" s="6">
        <v>2.7250000000000001</v>
      </c>
      <c r="X193" s="5">
        <v>99</v>
      </c>
      <c r="Z193" s="6">
        <f t="shared" si="67"/>
        <v>2.1904454486765657</v>
      </c>
      <c r="AA193" s="6">
        <f t="shared" si="68"/>
        <v>3.3678977272727271</v>
      </c>
      <c r="AB193" s="13">
        <f t="shared" si="69"/>
        <v>0.53754010596682988</v>
      </c>
      <c r="AC193" t="s">
        <v>40</v>
      </c>
      <c r="AE193" s="14" t="s">
        <v>477</v>
      </c>
      <c r="AF193" s="9">
        <v>0.38680555555555557</v>
      </c>
      <c r="AG193" s="9">
        <v>0.44444444444444442</v>
      </c>
      <c r="AH193" s="9">
        <f t="shared" si="60"/>
        <v>5.7638888888888851E-2</v>
      </c>
      <c r="AI193" s="9">
        <f t="shared" si="61"/>
        <v>0.38680555555555557</v>
      </c>
      <c r="AJ193" s="9">
        <v>0.51874999999999993</v>
      </c>
      <c r="AK193" s="9">
        <f t="shared" si="59"/>
        <v>0.13194444444444436</v>
      </c>
      <c r="AM193" t="b">
        <v>1</v>
      </c>
    </row>
    <row r="194" spans="1:39" x14ac:dyDescent="0.3">
      <c r="A194" s="3" t="s">
        <v>445</v>
      </c>
      <c r="B194" t="s">
        <v>446</v>
      </c>
      <c r="C194" t="s">
        <v>29</v>
      </c>
      <c r="D194">
        <v>52</v>
      </c>
      <c r="E194" s="1">
        <v>25000</v>
      </c>
      <c r="F194" s="2">
        <v>44272.438680555555</v>
      </c>
      <c r="G194" t="s">
        <v>30</v>
      </c>
      <c r="H194" s="5">
        <v>2804</v>
      </c>
      <c r="I194" s="6">
        <f t="shared" si="63"/>
        <v>28.04</v>
      </c>
      <c r="J194" s="6">
        <v>6.2160000000000002</v>
      </c>
      <c r="K194" s="5">
        <v>100</v>
      </c>
      <c r="L194" s="5">
        <v>850</v>
      </c>
      <c r="M194" s="6">
        <f t="shared" si="64"/>
        <v>8.5</v>
      </c>
      <c r="N194" s="6">
        <v>3</v>
      </c>
      <c r="O194" s="5">
        <v>100</v>
      </c>
      <c r="P194"/>
      <c r="Q194" s="5">
        <v>2238</v>
      </c>
      <c r="R194" s="6">
        <f t="shared" si="65"/>
        <v>22.606060606060606</v>
      </c>
      <c r="S194" s="6">
        <v>5.3890000000000002</v>
      </c>
      <c r="T194" s="5">
        <v>99</v>
      </c>
      <c r="U194" s="5">
        <v>348</v>
      </c>
      <c r="V194" s="6">
        <f t="shared" si="66"/>
        <v>3.5151515151515151</v>
      </c>
      <c r="W194" s="7">
        <v>2.0019999999999998</v>
      </c>
      <c r="X194" s="5">
        <v>99</v>
      </c>
      <c r="Z194" s="6">
        <f t="shared" si="67"/>
        <v>3.2988235294117647</v>
      </c>
      <c r="AA194" s="6">
        <f t="shared" si="68"/>
        <v>6.431034482758621</v>
      </c>
      <c r="AB194" s="13">
        <f t="shared" si="69"/>
        <v>0.94949333464508834</v>
      </c>
      <c r="AC194" t="s">
        <v>31</v>
      </c>
      <c r="AE194" s="14" t="s">
        <v>477</v>
      </c>
      <c r="AF194" s="9">
        <v>0.38055555555555554</v>
      </c>
      <c r="AG194" s="9">
        <v>0.44444444444444442</v>
      </c>
      <c r="AH194" s="9">
        <f t="shared" si="60"/>
        <v>6.3888888888888884E-2</v>
      </c>
      <c r="AI194" s="9">
        <f t="shared" si="61"/>
        <v>0.38055555555555554</v>
      </c>
      <c r="AJ194" s="9">
        <v>0.52083333333333337</v>
      </c>
      <c r="AK194" s="9">
        <f t="shared" si="59"/>
        <v>0.14027777777777783</v>
      </c>
      <c r="AM194" t="b">
        <v>1</v>
      </c>
    </row>
    <row r="195" spans="1:39" x14ac:dyDescent="0.3">
      <c r="A195" s="3" t="s">
        <v>447</v>
      </c>
      <c r="B195" t="s">
        <v>448</v>
      </c>
      <c r="C195" t="s">
        <v>29</v>
      </c>
      <c r="D195">
        <v>60</v>
      </c>
      <c r="E195" s="1">
        <v>22349</v>
      </c>
      <c r="F195" s="2">
        <v>44273.429918981485</v>
      </c>
      <c r="G195" t="s">
        <v>30</v>
      </c>
      <c r="H195" s="5">
        <v>3023</v>
      </c>
      <c r="I195" s="6">
        <f t="shared" si="63"/>
        <v>30.535353535353536</v>
      </c>
      <c r="J195" s="6">
        <v>5.9219999999999997</v>
      </c>
      <c r="K195" s="5">
        <v>99</v>
      </c>
      <c r="L195" s="5">
        <v>1829</v>
      </c>
      <c r="M195" s="6">
        <f t="shared" si="64"/>
        <v>18.474747474747474</v>
      </c>
      <c r="N195" s="6">
        <v>4.0289999999999999</v>
      </c>
      <c r="O195" s="5">
        <v>99</v>
      </c>
      <c r="P195"/>
      <c r="Q195" s="5">
        <v>2145</v>
      </c>
      <c r="R195" s="6">
        <f t="shared" si="65"/>
        <v>21.666666666666668</v>
      </c>
      <c r="S195" s="6">
        <v>4.9710000000000001</v>
      </c>
      <c r="T195" s="5">
        <v>99</v>
      </c>
      <c r="U195" s="5">
        <v>446</v>
      </c>
      <c r="V195" s="6">
        <f t="shared" si="66"/>
        <v>4.5050505050505052</v>
      </c>
      <c r="W195" s="7">
        <v>2.1539999999999999</v>
      </c>
      <c r="X195" s="5">
        <v>99</v>
      </c>
      <c r="Z195" s="6">
        <f t="shared" si="67"/>
        <v>1.6528157463094588</v>
      </c>
      <c r="AA195" s="6">
        <f t="shared" si="68"/>
        <v>4.8094170403587446</v>
      </c>
      <c r="AB195" s="13">
        <f t="shared" si="69"/>
        <v>1.9098325394694486</v>
      </c>
      <c r="AC195" t="s">
        <v>40</v>
      </c>
      <c r="AE195" s="14" t="s">
        <v>478</v>
      </c>
      <c r="AF195" s="9">
        <v>0.40347222222222223</v>
      </c>
      <c r="AG195" s="9">
        <v>0.44166666666666665</v>
      </c>
      <c r="AH195" s="9">
        <f t="shared" si="60"/>
        <v>3.819444444444442E-2</v>
      </c>
      <c r="AI195" s="9">
        <f t="shared" si="61"/>
        <v>0.40347222222222223</v>
      </c>
      <c r="AJ195" s="9">
        <v>0.52777777777777779</v>
      </c>
      <c r="AK195" s="9">
        <f t="shared" si="59"/>
        <v>0.12430555555555556</v>
      </c>
      <c r="AM195" t="b">
        <v>1</v>
      </c>
    </row>
    <row r="196" spans="1:39" x14ac:dyDescent="0.3">
      <c r="A196" s="3" t="s">
        <v>449</v>
      </c>
      <c r="B196" t="s">
        <v>450</v>
      </c>
      <c r="C196" t="s">
        <v>52</v>
      </c>
      <c r="D196">
        <v>66</v>
      </c>
      <c r="E196" s="1">
        <v>19849</v>
      </c>
      <c r="F196" s="2">
        <v>44273.431087962963</v>
      </c>
      <c r="G196" t="s">
        <v>30</v>
      </c>
      <c r="H196" s="5">
        <v>1712</v>
      </c>
      <c r="I196" s="6">
        <f t="shared" si="63"/>
        <v>17.292929292929294</v>
      </c>
      <c r="J196" s="6">
        <v>0.99199999999999999</v>
      </c>
      <c r="K196" s="5">
        <v>99</v>
      </c>
      <c r="L196" s="5">
        <v>1031</v>
      </c>
      <c r="M196" s="6">
        <f t="shared" si="64"/>
        <v>10.414141414141413</v>
      </c>
      <c r="N196" s="6">
        <v>0.83299999999999996</v>
      </c>
      <c r="O196" s="5">
        <v>99</v>
      </c>
      <c r="P196"/>
      <c r="Q196" s="5">
        <v>1243</v>
      </c>
      <c r="R196" s="6">
        <f t="shared" si="65"/>
        <v>12.43</v>
      </c>
      <c r="S196" s="6">
        <v>1.2250000000000001</v>
      </c>
      <c r="T196" s="5">
        <v>100</v>
      </c>
      <c r="U196" s="5">
        <v>478</v>
      </c>
      <c r="V196" s="6">
        <f t="shared" si="66"/>
        <v>4.78</v>
      </c>
      <c r="W196" s="6">
        <v>0.71899999999999997</v>
      </c>
      <c r="X196" s="5">
        <v>100</v>
      </c>
      <c r="Z196" s="6">
        <f t="shared" si="67"/>
        <v>1.6605237633365666</v>
      </c>
      <c r="AA196" s="6">
        <f t="shared" si="68"/>
        <v>2.6004184100418408</v>
      </c>
      <c r="AB196" s="13">
        <f t="shared" si="69"/>
        <v>0.56602300277636541</v>
      </c>
      <c r="AC196" t="s">
        <v>39</v>
      </c>
      <c r="AE196" s="14" t="s">
        <v>478</v>
      </c>
      <c r="AF196" s="9">
        <v>0.37986111111111115</v>
      </c>
      <c r="AG196" s="9">
        <v>0.44444444444444442</v>
      </c>
      <c r="AH196" s="9">
        <f t="shared" si="60"/>
        <v>6.458333333333327E-2</v>
      </c>
      <c r="AI196" s="9">
        <f t="shared" si="61"/>
        <v>0.37986111111111115</v>
      </c>
      <c r="AJ196" s="9">
        <v>0.51736111111111105</v>
      </c>
      <c r="AK196" s="9">
        <f t="shared" si="59"/>
        <v>0.1374999999999999</v>
      </c>
      <c r="AM196" t="b">
        <v>1</v>
      </c>
    </row>
    <row r="197" spans="1:39" x14ac:dyDescent="0.3">
      <c r="A197" s="3" t="s">
        <v>451</v>
      </c>
      <c r="B197" t="s">
        <v>452</v>
      </c>
      <c r="C197" t="s">
        <v>29</v>
      </c>
      <c r="D197">
        <v>66</v>
      </c>
      <c r="E197" s="1">
        <v>20017</v>
      </c>
      <c r="F197" s="2">
        <v>44274.441805555558</v>
      </c>
      <c r="G197" t="s">
        <v>30</v>
      </c>
      <c r="H197" s="5">
        <v>2063</v>
      </c>
      <c r="I197" s="6">
        <f t="shared" si="63"/>
        <v>20.838383838383837</v>
      </c>
      <c r="J197" s="6">
        <v>4.9729999999999999</v>
      </c>
      <c r="K197" s="5">
        <v>99</v>
      </c>
      <c r="L197" s="5">
        <v>757</v>
      </c>
      <c r="M197" s="6">
        <f t="shared" si="64"/>
        <v>7.6464646464646462</v>
      </c>
      <c r="N197" s="6">
        <v>2.7269999999999999</v>
      </c>
      <c r="O197" s="5">
        <v>99</v>
      </c>
      <c r="P197"/>
      <c r="Q197" s="5">
        <v>1460</v>
      </c>
      <c r="R197" s="6">
        <f t="shared" si="65"/>
        <v>14.6</v>
      </c>
      <c r="S197" s="6">
        <v>3.83</v>
      </c>
      <c r="T197" s="5">
        <v>100</v>
      </c>
      <c r="U197" s="5">
        <v>374</v>
      </c>
      <c r="V197" s="6">
        <f t="shared" si="66"/>
        <v>3.74</v>
      </c>
      <c r="W197" s="6">
        <v>1.9259999999999999</v>
      </c>
      <c r="X197" s="5">
        <v>100</v>
      </c>
      <c r="Z197" s="6">
        <f t="shared" si="67"/>
        <v>2.7252311756935272</v>
      </c>
      <c r="AA197" s="6">
        <f t="shared" si="68"/>
        <v>3.903743315508021</v>
      </c>
      <c r="AB197" s="13">
        <f t="shared" si="69"/>
        <v>0.4324448326900493</v>
      </c>
      <c r="AC197" t="s">
        <v>31</v>
      </c>
      <c r="AE197" s="14" t="s">
        <v>478</v>
      </c>
      <c r="AF197" s="9">
        <v>0.37916666666666665</v>
      </c>
      <c r="AG197" s="9">
        <v>0.44444444444444442</v>
      </c>
      <c r="AH197" s="9">
        <f t="shared" si="60"/>
        <v>6.5277777777777768E-2</v>
      </c>
      <c r="AI197" s="9">
        <f t="shared" si="61"/>
        <v>0.37916666666666665</v>
      </c>
      <c r="AJ197" s="9">
        <v>0.52083333333333337</v>
      </c>
      <c r="AK197" s="9">
        <f t="shared" si="59"/>
        <v>0.14166666666666672</v>
      </c>
      <c r="AM197" t="b">
        <v>1</v>
      </c>
    </row>
    <row r="198" spans="1:39" x14ac:dyDescent="0.3">
      <c r="A198" s="3" t="s">
        <v>453</v>
      </c>
      <c r="B198" t="s">
        <v>454</v>
      </c>
      <c r="C198" t="s">
        <v>29</v>
      </c>
      <c r="D198">
        <v>62</v>
      </c>
      <c r="E198" s="1">
        <v>21629</v>
      </c>
      <c r="F198" s="2">
        <v>44277.438703703701</v>
      </c>
      <c r="G198" t="s">
        <v>30</v>
      </c>
      <c r="H198" s="5">
        <v>4884</v>
      </c>
      <c r="I198" s="6">
        <f t="shared" si="63"/>
        <v>49.333333333333336</v>
      </c>
      <c r="J198" s="6">
        <v>6.9580000000000002</v>
      </c>
      <c r="K198" s="5">
        <v>99</v>
      </c>
      <c r="L198" s="5">
        <v>2084</v>
      </c>
      <c r="M198" s="6">
        <f t="shared" si="64"/>
        <v>21.050505050505052</v>
      </c>
      <c r="N198" s="6">
        <v>4.1710000000000003</v>
      </c>
      <c r="O198" s="5">
        <v>99</v>
      </c>
      <c r="P198"/>
      <c r="Q198" s="5">
        <v>4107</v>
      </c>
      <c r="R198" s="6">
        <f t="shared" si="65"/>
        <v>41.07</v>
      </c>
      <c r="S198" s="6">
        <v>6.2910000000000004</v>
      </c>
      <c r="T198" s="5">
        <v>100</v>
      </c>
      <c r="U198" s="5">
        <v>1127</v>
      </c>
      <c r="V198" s="6">
        <f t="shared" si="66"/>
        <v>11.27</v>
      </c>
      <c r="W198" s="6">
        <v>3.9790000000000001</v>
      </c>
      <c r="X198" s="5">
        <v>100</v>
      </c>
      <c r="Z198" s="6">
        <f t="shared" si="67"/>
        <v>2.3435700575815739</v>
      </c>
      <c r="AA198" s="6">
        <f t="shared" si="68"/>
        <v>3.6441881100266196</v>
      </c>
      <c r="AB198" s="13">
        <f t="shared" si="69"/>
        <v>0.55497297733322593</v>
      </c>
      <c r="AC198" t="s">
        <v>31</v>
      </c>
      <c r="AE198" s="14" t="s">
        <v>477</v>
      </c>
      <c r="AF198" s="9">
        <v>0.37361111111111112</v>
      </c>
      <c r="AG198" s="9">
        <v>0.44444444444444442</v>
      </c>
      <c r="AH198" s="9">
        <f t="shared" si="60"/>
        <v>7.0833333333333304E-2</v>
      </c>
      <c r="AI198" s="9">
        <f t="shared" si="61"/>
        <v>0.37361111111111112</v>
      </c>
      <c r="AJ198" s="9">
        <v>0.52083333333333337</v>
      </c>
      <c r="AK198" s="9">
        <f t="shared" si="59"/>
        <v>0.14722222222222225</v>
      </c>
      <c r="AM198" t="b">
        <v>1</v>
      </c>
    </row>
    <row r="199" spans="1:39" x14ac:dyDescent="0.3">
      <c r="A199" s="3" t="s">
        <v>455</v>
      </c>
      <c r="B199" t="s">
        <v>456</v>
      </c>
      <c r="C199" t="s">
        <v>29</v>
      </c>
      <c r="D199">
        <v>54</v>
      </c>
      <c r="E199" s="1">
        <v>24327</v>
      </c>
      <c r="F199" s="2">
        <v>44278.438935185186</v>
      </c>
      <c r="G199" t="s">
        <v>30</v>
      </c>
      <c r="H199" s="5">
        <v>3257</v>
      </c>
      <c r="I199" s="6">
        <f t="shared" si="63"/>
        <v>32.898989898989896</v>
      </c>
      <c r="J199" s="6">
        <v>5.2169999999999996</v>
      </c>
      <c r="K199" s="5">
        <v>99</v>
      </c>
      <c r="L199" s="5">
        <v>1169</v>
      </c>
      <c r="M199" s="6">
        <f t="shared" si="64"/>
        <v>11.808080808080808</v>
      </c>
      <c r="N199" s="6">
        <v>3.266</v>
      </c>
      <c r="O199" s="5">
        <v>99</v>
      </c>
      <c r="P199"/>
      <c r="Q199" s="5">
        <v>2186</v>
      </c>
      <c r="R199" s="6">
        <f t="shared" si="65"/>
        <v>22.08080808080808</v>
      </c>
      <c r="S199" s="6">
        <v>4.5259999999999998</v>
      </c>
      <c r="T199" s="5">
        <v>99</v>
      </c>
      <c r="U199" s="5">
        <v>396</v>
      </c>
      <c r="V199" s="6">
        <f t="shared" si="66"/>
        <v>4</v>
      </c>
      <c r="W199" s="6">
        <v>2.08</v>
      </c>
      <c r="X199" s="5">
        <v>99</v>
      </c>
      <c r="Z199" s="6">
        <f t="shared" si="67"/>
        <v>2.7861420017108638</v>
      </c>
      <c r="AA199" s="6">
        <f t="shared" si="68"/>
        <v>5.5202020202020199</v>
      </c>
      <c r="AB199" s="13">
        <f t="shared" si="69"/>
        <v>0.98130677360029528</v>
      </c>
      <c r="AC199" t="s">
        <v>31</v>
      </c>
      <c r="AE199" s="14" t="s">
        <v>477</v>
      </c>
      <c r="AF199" s="9">
        <v>0.39374999999999999</v>
      </c>
      <c r="AG199" s="9">
        <v>0.44444444444444442</v>
      </c>
      <c r="AH199" s="9">
        <f t="shared" si="60"/>
        <v>5.0694444444444431E-2</v>
      </c>
      <c r="AI199" s="9">
        <f t="shared" si="61"/>
        <v>0.39374999999999999</v>
      </c>
      <c r="AJ199" s="9">
        <v>0.54166666666666663</v>
      </c>
      <c r="AK199" s="9">
        <f t="shared" si="59"/>
        <v>0.14791666666666664</v>
      </c>
      <c r="AM199" t="b">
        <v>1</v>
      </c>
    </row>
    <row r="200" spans="1:39" x14ac:dyDescent="0.3">
      <c r="A200" s="3" t="s">
        <v>457</v>
      </c>
      <c r="B200" t="s">
        <v>458</v>
      </c>
      <c r="C200" t="s">
        <v>29</v>
      </c>
      <c r="D200">
        <v>41</v>
      </c>
      <c r="E200" s="1">
        <v>28939</v>
      </c>
      <c r="F200" s="2">
        <v>44279.441400462965</v>
      </c>
      <c r="G200" t="s">
        <v>30</v>
      </c>
      <c r="H200" s="5">
        <v>2081</v>
      </c>
      <c r="I200" s="6">
        <f t="shared" si="63"/>
        <v>20.81</v>
      </c>
      <c r="J200" s="6">
        <v>5.5439999999999996</v>
      </c>
      <c r="K200" s="5">
        <v>100</v>
      </c>
      <c r="L200" s="5">
        <v>913</v>
      </c>
      <c r="M200" s="6">
        <f t="shared" si="64"/>
        <v>9.1300000000000008</v>
      </c>
      <c r="N200" s="6">
        <v>3.3290000000000002</v>
      </c>
      <c r="O200" s="5">
        <v>100</v>
      </c>
      <c r="P200"/>
      <c r="Q200" s="5">
        <v>1486</v>
      </c>
      <c r="R200" s="6">
        <f t="shared" si="65"/>
        <v>15.01010101010101</v>
      </c>
      <c r="S200" s="6">
        <v>4.0369999999999999</v>
      </c>
      <c r="T200" s="5">
        <v>99</v>
      </c>
      <c r="U200" s="5">
        <v>305</v>
      </c>
      <c r="V200" s="6">
        <f t="shared" si="66"/>
        <v>3.0808080808080809</v>
      </c>
      <c r="W200" s="6">
        <v>1.7769999999999999</v>
      </c>
      <c r="X200" s="5">
        <v>99</v>
      </c>
      <c r="Z200" s="6">
        <f t="shared" si="67"/>
        <v>2.2792990142387728</v>
      </c>
      <c r="AA200" s="6">
        <f t="shared" si="68"/>
        <v>4.8721311475409834</v>
      </c>
      <c r="AB200" s="13">
        <f t="shared" si="69"/>
        <v>1.1375568177342235</v>
      </c>
      <c r="AC200" t="s">
        <v>31</v>
      </c>
      <c r="AE200" s="14" t="s">
        <v>477</v>
      </c>
      <c r="AF200" s="9">
        <v>0.38055555555555554</v>
      </c>
      <c r="AG200" s="9">
        <v>0.44444444444444442</v>
      </c>
      <c r="AH200" s="9">
        <f t="shared" si="60"/>
        <v>6.3888888888888884E-2</v>
      </c>
      <c r="AI200" s="9">
        <f t="shared" si="61"/>
        <v>0.38055555555555554</v>
      </c>
      <c r="AJ200" s="9">
        <v>0.52083333333333337</v>
      </c>
      <c r="AK200" s="9">
        <f t="shared" si="59"/>
        <v>0.14027777777777783</v>
      </c>
      <c r="AM200" t="b">
        <v>1</v>
      </c>
    </row>
    <row r="201" spans="1:39" x14ac:dyDescent="0.3">
      <c r="A201" s="3" t="s">
        <v>459</v>
      </c>
      <c r="B201" t="s">
        <v>460</v>
      </c>
      <c r="C201" t="s">
        <v>29</v>
      </c>
      <c r="D201">
        <v>74</v>
      </c>
      <c r="E201" s="1">
        <v>17091</v>
      </c>
      <c r="F201" s="2">
        <v>44279.397557870368</v>
      </c>
      <c r="G201" t="s">
        <v>30</v>
      </c>
      <c r="H201" s="5">
        <v>2252</v>
      </c>
      <c r="I201" s="6">
        <f t="shared" si="63"/>
        <v>22.747474747474747</v>
      </c>
      <c r="J201" s="6">
        <v>1.7569999999999999</v>
      </c>
      <c r="K201" s="5">
        <v>99</v>
      </c>
      <c r="L201" s="5">
        <v>1188</v>
      </c>
      <c r="M201" s="6">
        <f t="shared" si="64"/>
        <v>12</v>
      </c>
      <c r="N201" s="6">
        <v>0.89200000000000002</v>
      </c>
      <c r="O201" s="5">
        <v>99</v>
      </c>
      <c r="P201"/>
      <c r="Q201" s="5">
        <v>1555</v>
      </c>
      <c r="R201" s="6">
        <f t="shared" si="65"/>
        <v>15.707070707070708</v>
      </c>
      <c r="S201" s="6">
        <v>1.2390000000000001</v>
      </c>
      <c r="T201" s="5">
        <v>99</v>
      </c>
      <c r="U201" s="5">
        <v>474</v>
      </c>
      <c r="V201" s="6">
        <f t="shared" si="66"/>
        <v>4.7878787878787881</v>
      </c>
      <c r="W201" s="6">
        <v>0.83599999999999997</v>
      </c>
      <c r="X201" s="5">
        <v>99</v>
      </c>
      <c r="Z201" s="6">
        <f t="shared" si="67"/>
        <v>1.8956228956228955</v>
      </c>
      <c r="AA201" s="6">
        <f t="shared" si="68"/>
        <v>3.2805907172995781</v>
      </c>
      <c r="AB201" s="13">
        <f t="shared" si="69"/>
        <v>0.73061357555590534</v>
      </c>
      <c r="AC201" t="s">
        <v>39</v>
      </c>
      <c r="AE201" s="14" t="s">
        <v>478</v>
      </c>
      <c r="AF201" s="9">
        <v>0.3833333333333333</v>
      </c>
      <c r="AG201" s="9">
        <v>0.44444444444444442</v>
      </c>
      <c r="AH201" s="9">
        <f t="shared" si="60"/>
        <v>6.1111111111111116E-2</v>
      </c>
      <c r="AI201" s="9">
        <f t="shared" si="61"/>
        <v>0.3833333333333333</v>
      </c>
      <c r="AJ201" s="9">
        <v>0.54166666666666663</v>
      </c>
      <c r="AK201" s="9">
        <f t="shared" si="59"/>
        <v>0.15833333333333333</v>
      </c>
      <c r="AM201" t="b">
        <v>1</v>
      </c>
    </row>
    <row r="202" spans="1:39" x14ac:dyDescent="0.3">
      <c r="A202" s="3" t="s">
        <v>461</v>
      </c>
      <c r="B202" t="s">
        <v>462</v>
      </c>
      <c r="C202" t="s">
        <v>29</v>
      </c>
      <c r="D202">
        <v>60</v>
      </c>
      <c r="E202" s="1">
        <v>22214</v>
      </c>
      <c r="F202" s="2">
        <v>44280.438877314817</v>
      </c>
      <c r="G202" t="s">
        <v>30</v>
      </c>
      <c r="H202" s="5">
        <v>2688</v>
      </c>
      <c r="I202" s="6">
        <f t="shared" si="63"/>
        <v>26.88</v>
      </c>
      <c r="J202" s="6">
        <v>5.62</v>
      </c>
      <c r="K202" s="5">
        <v>100</v>
      </c>
      <c r="L202" s="5">
        <v>1284</v>
      </c>
      <c r="M202" s="6">
        <f t="shared" si="64"/>
        <v>12.84</v>
      </c>
      <c r="N202" s="6">
        <v>3.8679999999999999</v>
      </c>
      <c r="O202" s="5">
        <v>100</v>
      </c>
      <c r="P202"/>
      <c r="Q202" s="5">
        <v>1874</v>
      </c>
      <c r="R202" s="6">
        <f t="shared" si="65"/>
        <v>18.929292929292931</v>
      </c>
      <c r="S202" s="6">
        <v>4.9660000000000002</v>
      </c>
      <c r="T202" s="5">
        <v>99</v>
      </c>
      <c r="U202" s="5">
        <v>519</v>
      </c>
      <c r="V202" s="6">
        <f t="shared" si="66"/>
        <v>5.2424242424242422</v>
      </c>
      <c r="W202" s="6">
        <v>2.3650000000000002</v>
      </c>
      <c r="X202" s="5">
        <v>99</v>
      </c>
      <c r="Z202" s="6">
        <f t="shared" si="67"/>
        <v>2.0934579439252334</v>
      </c>
      <c r="AA202" s="6">
        <f t="shared" si="68"/>
        <v>3.6107899807321777</v>
      </c>
      <c r="AB202" s="13">
        <f t="shared" si="69"/>
        <v>0.72479699972474576</v>
      </c>
      <c r="AC202" t="s">
        <v>31</v>
      </c>
      <c r="AE202" s="14" t="s">
        <v>479</v>
      </c>
      <c r="AF202" s="9">
        <v>0.3923611111111111</v>
      </c>
      <c r="AG202" s="9">
        <v>0.44444444444444442</v>
      </c>
      <c r="AH202" s="9">
        <f t="shared" si="60"/>
        <v>5.2083333333333315E-2</v>
      </c>
      <c r="AI202" s="9">
        <f t="shared" si="61"/>
        <v>0.3923611111111111</v>
      </c>
      <c r="AJ202" s="9">
        <v>0.53472222222222221</v>
      </c>
      <c r="AK202" s="9">
        <f t="shared" si="59"/>
        <v>0.1423611111111111</v>
      </c>
      <c r="AM202" t="b">
        <v>1</v>
      </c>
    </row>
    <row r="203" spans="1:39" x14ac:dyDescent="0.3">
      <c r="A203" s="3" t="s">
        <v>463</v>
      </c>
      <c r="B203" t="s">
        <v>464</v>
      </c>
      <c r="C203" t="s">
        <v>29</v>
      </c>
      <c r="D203">
        <v>46</v>
      </c>
      <c r="E203" s="1">
        <v>27278</v>
      </c>
      <c r="F203" s="2">
        <v>44284.4377662037</v>
      </c>
      <c r="G203" t="s">
        <v>30</v>
      </c>
      <c r="H203" s="5">
        <v>1907</v>
      </c>
      <c r="I203" s="6">
        <f t="shared" si="63"/>
        <v>19.262626262626263</v>
      </c>
      <c r="J203" s="6">
        <v>1.4890000000000001</v>
      </c>
      <c r="K203" s="5">
        <v>99</v>
      </c>
      <c r="L203" s="5">
        <v>940</v>
      </c>
      <c r="M203" s="6">
        <f t="shared" si="64"/>
        <v>9.4949494949494948</v>
      </c>
      <c r="N203" s="6">
        <v>0.78700000000000003</v>
      </c>
      <c r="O203" s="5">
        <v>99</v>
      </c>
      <c r="P203"/>
      <c r="Q203" s="5">
        <v>1199</v>
      </c>
      <c r="R203" s="6">
        <f t="shared" si="65"/>
        <v>12.111111111111111</v>
      </c>
      <c r="S203" s="6">
        <v>1.2769999999999999</v>
      </c>
      <c r="T203" s="5">
        <v>99</v>
      </c>
      <c r="U203" s="5">
        <v>310</v>
      </c>
      <c r="V203" s="6">
        <f t="shared" si="66"/>
        <v>3.1313131313131315</v>
      </c>
      <c r="W203" s="6">
        <v>0.72299999999999998</v>
      </c>
      <c r="X203" s="5">
        <v>99</v>
      </c>
      <c r="Z203" s="6">
        <f t="shared" si="67"/>
        <v>2.0287234042553193</v>
      </c>
      <c r="AA203" s="6">
        <f t="shared" si="68"/>
        <v>3.8677419354838705</v>
      </c>
      <c r="AB203" s="13">
        <f t="shared" si="69"/>
        <v>0.90649051880169795</v>
      </c>
      <c r="AC203" t="s">
        <v>53</v>
      </c>
      <c r="AE203" s="14" t="s">
        <v>477</v>
      </c>
      <c r="AF203" s="9">
        <v>0.3756944444444445</v>
      </c>
      <c r="AG203" s="9">
        <v>0.4375</v>
      </c>
      <c r="AH203" s="9">
        <f t="shared" si="60"/>
        <v>6.1805555555555503E-2</v>
      </c>
      <c r="AI203" s="9">
        <f t="shared" si="61"/>
        <v>0.3756944444444445</v>
      </c>
      <c r="AJ203" s="9">
        <v>0.52083333333333337</v>
      </c>
      <c r="AK203" s="9">
        <f t="shared" si="59"/>
        <v>0.14513888888888887</v>
      </c>
      <c r="AM203" t="b">
        <v>1</v>
      </c>
    </row>
    <row r="204" spans="1:39" x14ac:dyDescent="0.3">
      <c r="A204" s="3" t="s">
        <v>465</v>
      </c>
      <c r="B204" t="s">
        <v>466</v>
      </c>
      <c r="C204" t="s">
        <v>29</v>
      </c>
      <c r="D204">
        <v>48</v>
      </c>
      <c r="E204" s="1">
        <v>26680</v>
      </c>
      <c r="F204" s="2">
        <v>44281.444953703707</v>
      </c>
      <c r="G204" t="s">
        <v>278</v>
      </c>
      <c r="H204" s="5">
        <v>1664</v>
      </c>
      <c r="I204" s="6">
        <f t="shared" si="63"/>
        <v>16.80808080808081</v>
      </c>
      <c r="J204" s="6">
        <v>3.2719999999999998</v>
      </c>
      <c r="K204" s="5">
        <v>99</v>
      </c>
      <c r="L204" s="5">
        <v>1068</v>
      </c>
      <c r="M204" s="6">
        <f t="shared" si="64"/>
        <v>10.787878787878787</v>
      </c>
      <c r="N204" s="6">
        <v>3.62</v>
      </c>
      <c r="O204" s="5">
        <v>99</v>
      </c>
      <c r="P204"/>
      <c r="Q204" s="5">
        <v>1055</v>
      </c>
      <c r="R204" s="6">
        <f t="shared" si="65"/>
        <v>10.656565656565656</v>
      </c>
      <c r="S204" s="6">
        <v>3.5110000000000001</v>
      </c>
      <c r="T204" s="5">
        <v>99</v>
      </c>
      <c r="U204" s="5">
        <v>342</v>
      </c>
      <c r="V204" s="6">
        <f t="shared" si="66"/>
        <v>3.4545454545454546</v>
      </c>
      <c r="W204" s="6">
        <v>2.1389999999999998</v>
      </c>
      <c r="X204" s="5">
        <v>99</v>
      </c>
      <c r="Z204" s="6">
        <f t="shared" si="67"/>
        <v>1.5580524344569291</v>
      </c>
      <c r="AA204" s="6">
        <f t="shared" si="68"/>
        <v>3.0847953216374266</v>
      </c>
      <c r="AB204" s="13">
        <f t="shared" si="69"/>
        <v>0.97990468960863653</v>
      </c>
      <c r="AC204" t="s">
        <v>31</v>
      </c>
      <c r="AE204" s="14" t="s">
        <v>477</v>
      </c>
      <c r="AF204" s="9">
        <v>0.39930555555555558</v>
      </c>
      <c r="AG204" s="9">
        <v>0.44444444444444442</v>
      </c>
      <c r="AH204" s="9">
        <f t="shared" si="60"/>
        <v>4.513888888888884E-2</v>
      </c>
      <c r="AI204" s="9">
        <f t="shared" si="61"/>
        <v>0.39930555555555558</v>
      </c>
      <c r="AJ204" s="9">
        <v>0.53472222222222221</v>
      </c>
      <c r="AK204" s="9">
        <f t="shared" si="59"/>
        <v>0.13541666666666663</v>
      </c>
      <c r="AM204" t="b">
        <v>1</v>
      </c>
    </row>
    <row r="205" spans="1:39" x14ac:dyDescent="0.3">
      <c r="A205" s="3" t="s">
        <v>467</v>
      </c>
      <c r="B205" t="s">
        <v>468</v>
      </c>
      <c r="C205" t="s">
        <v>52</v>
      </c>
      <c r="D205">
        <v>74</v>
      </c>
      <c r="E205" s="1">
        <v>17082</v>
      </c>
      <c r="F205" s="2">
        <v>44284.440416666665</v>
      </c>
      <c r="G205" t="s">
        <v>30</v>
      </c>
      <c r="H205" s="5">
        <v>1943</v>
      </c>
      <c r="I205" s="6">
        <f t="shared" si="63"/>
        <v>19.626262626262626</v>
      </c>
      <c r="J205" s="6">
        <v>4.9930000000000003</v>
      </c>
      <c r="K205" s="5">
        <v>99</v>
      </c>
      <c r="L205" s="5">
        <v>1058</v>
      </c>
      <c r="M205" s="6">
        <f t="shared" si="64"/>
        <v>10.686868686868687</v>
      </c>
      <c r="N205" s="6">
        <v>3.5760000000000001</v>
      </c>
      <c r="O205" s="5">
        <v>99</v>
      </c>
      <c r="P205"/>
      <c r="Q205" s="5">
        <v>1454</v>
      </c>
      <c r="R205" s="6">
        <f t="shared" si="65"/>
        <v>14.54</v>
      </c>
      <c r="S205" s="6">
        <v>3.82</v>
      </c>
      <c r="T205" s="5">
        <v>100</v>
      </c>
      <c r="U205" s="5">
        <v>468</v>
      </c>
      <c r="V205" s="6">
        <f t="shared" si="66"/>
        <v>4.68</v>
      </c>
      <c r="W205" s="6">
        <v>2.141</v>
      </c>
      <c r="X205" s="5">
        <v>100</v>
      </c>
      <c r="Z205" s="6">
        <f t="shared" si="67"/>
        <v>1.83648393194707</v>
      </c>
      <c r="AA205" s="6">
        <f t="shared" si="68"/>
        <v>3.1068376068376069</v>
      </c>
      <c r="AB205" s="13">
        <f t="shared" si="69"/>
        <v>0.69173144005876885</v>
      </c>
      <c r="AC205" t="s">
        <v>31</v>
      </c>
      <c r="AE205" s="14" t="s">
        <v>477</v>
      </c>
      <c r="AF205" s="9">
        <v>0.37916666666666665</v>
      </c>
      <c r="AG205" s="9">
        <v>0.44444444444444442</v>
      </c>
      <c r="AH205" s="9">
        <f t="shared" si="60"/>
        <v>6.5277777777777768E-2</v>
      </c>
      <c r="AI205" s="9">
        <f t="shared" si="61"/>
        <v>0.37916666666666665</v>
      </c>
      <c r="AJ205" s="9">
        <v>0.52083333333333337</v>
      </c>
      <c r="AK205" s="9">
        <f t="shared" ref="AK205:AK268" si="70">AJ205-AI205</f>
        <v>0.14166666666666672</v>
      </c>
      <c r="AM205" t="b">
        <v>1</v>
      </c>
    </row>
    <row r="206" spans="1:39" x14ac:dyDescent="0.3">
      <c r="A206" s="3" t="s">
        <v>469</v>
      </c>
      <c r="B206" t="s">
        <v>470</v>
      </c>
      <c r="C206" t="s">
        <v>29</v>
      </c>
      <c r="D206">
        <v>48</v>
      </c>
      <c r="E206" s="1">
        <v>26576</v>
      </c>
      <c r="F206" s="2">
        <v>44285.426874999997</v>
      </c>
      <c r="G206" t="s">
        <v>30</v>
      </c>
      <c r="H206" s="5">
        <v>2584</v>
      </c>
      <c r="I206" s="6">
        <f t="shared" si="63"/>
        <v>25.84</v>
      </c>
      <c r="J206" s="6">
        <v>4.8170000000000002</v>
      </c>
      <c r="K206" s="5">
        <v>100</v>
      </c>
      <c r="L206" s="5">
        <v>1111</v>
      </c>
      <c r="M206" s="6">
        <f t="shared" si="64"/>
        <v>11.11</v>
      </c>
      <c r="N206" s="6">
        <v>3.722</v>
      </c>
      <c r="O206" s="5">
        <v>100</v>
      </c>
      <c r="P206"/>
      <c r="Q206" s="5">
        <v>1669</v>
      </c>
      <c r="R206" s="6">
        <f t="shared" si="65"/>
        <v>16.858585858585858</v>
      </c>
      <c r="S206" s="6">
        <v>4.76</v>
      </c>
      <c r="T206" s="5">
        <v>99</v>
      </c>
      <c r="U206" s="5">
        <v>292</v>
      </c>
      <c r="V206" s="6">
        <f t="shared" si="66"/>
        <v>2.9494949494949494</v>
      </c>
      <c r="W206" s="6">
        <v>1.746</v>
      </c>
      <c r="X206" s="5">
        <v>99</v>
      </c>
      <c r="Z206" s="6">
        <f t="shared" si="67"/>
        <v>2.3258325832583258</v>
      </c>
      <c r="AA206" s="6">
        <f t="shared" si="68"/>
        <v>5.7157534246575343</v>
      </c>
      <c r="AB206" s="13">
        <f t="shared" si="69"/>
        <v>1.4575085351371986</v>
      </c>
      <c r="AC206" t="s">
        <v>40</v>
      </c>
      <c r="AE206" s="14" t="s">
        <v>477</v>
      </c>
      <c r="AF206" s="9">
        <v>0.39861111111111108</v>
      </c>
      <c r="AG206" s="9">
        <v>0.44444444444444442</v>
      </c>
      <c r="AH206" s="9">
        <f t="shared" si="60"/>
        <v>4.5833333333333337E-2</v>
      </c>
      <c r="AI206" s="9">
        <f t="shared" si="61"/>
        <v>0.39861111111111108</v>
      </c>
      <c r="AJ206" s="9">
        <v>0.52847222222222223</v>
      </c>
      <c r="AK206" s="9">
        <f t="shared" si="70"/>
        <v>0.12986111111111115</v>
      </c>
      <c r="AM206" t="b">
        <v>1</v>
      </c>
    </row>
    <row r="207" spans="1:39" x14ac:dyDescent="0.3">
      <c r="A207" s="3" t="s">
        <v>471</v>
      </c>
      <c r="B207" t="s">
        <v>472</v>
      </c>
      <c r="C207" t="s">
        <v>52</v>
      </c>
      <c r="D207">
        <v>72</v>
      </c>
      <c r="E207" s="1">
        <v>17976</v>
      </c>
      <c r="F207" s="2">
        <v>44285.441018518519</v>
      </c>
      <c r="G207" t="s">
        <v>30</v>
      </c>
      <c r="H207" s="5">
        <v>2159</v>
      </c>
      <c r="I207" s="6">
        <f t="shared" si="63"/>
        <v>21.80808080808081</v>
      </c>
      <c r="J207" s="6">
        <v>4.8769999999999998</v>
      </c>
      <c r="K207" s="5">
        <v>99</v>
      </c>
      <c r="L207" s="5">
        <v>924</v>
      </c>
      <c r="M207" s="6">
        <f t="shared" si="64"/>
        <v>9.3333333333333339</v>
      </c>
      <c r="N207" s="6">
        <v>3.347</v>
      </c>
      <c r="O207" s="5">
        <v>99</v>
      </c>
      <c r="P207"/>
      <c r="Q207" s="5">
        <v>1679</v>
      </c>
      <c r="R207" s="6">
        <f t="shared" si="65"/>
        <v>16.959595959595958</v>
      </c>
      <c r="S207" s="6">
        <v>4.8819999999999997</v>
      </c>
      <c r="T207" s="5">
        <v>99</v>
      </c>
      <c r="U207" s="5">
        <v>386</v>
      </c>
      <c r="V207" s="6">
        <f t="shared" si="66"/>
        <v>3.8989898989898988</v>
      </c>
      <c r="W207" s="6">
        <v>1.982</v>
      </c>
      <c r="X207" s="5">
        <v>99</v>
      </c>
      <c r="Z207" s="6">
        <f t="shared" si="67"/>
        <v>2.3365800865800868</v>
      </c>
      <c r="AA207" s="6">
        <f t="shared" si="68"/>
        <v>4.3497409326424874</v>
      </c>
      <c r="AB207" s="13">
        <f t="shared" si="69"/>
        <v>0.86158435468349148</v>
      </c>
      <c r="AC207" t="s">
        <v>31</v>
      </c>
      <c r="AE207" s="14" t="s">
        <v>479</v>
      </c>
      <c r="AF207" s="9">
        <v>0.37847222222222227</v>
      </c>
      <c r="AG207" s="9">
        <v>0.44444444444444442</v>
      </c>
      <c r="AH207" s="9">
        <f t="shared" si="60"/>
        <v>6.5972222222222154E-2</v>
      </c>
      <c r="AI207" s="9">
        <f t="shared" si="61"/>
        <v>0.37847222222222227</v>
      </c>
      <c r="AJ207" s="9">
        <v>0.52083333333333337</v>
      </c>
      <c r="AK207" s="9">
        <f t="shared" si="70"/>
        <v>0.1423611111111111</v>
      </c>
      <c r="AM207" t="b">
        <v>1</v>
      </c>
    </row>
    <row r="208" spans="1:39" x14ac:dyDescent="0.3">
      <c r="A208" s="3" t="s">
        <v>473</v>
      </c>
      <c r="B208" t="s">
        <v>474</v>
      </c>
      <c r="C208" t="s">
        <v>29</v>
      </c>
      <c r="D208">
        <v>60</v>
      </c>
      <c r="E208" s="1">
        <v>22327</v>
      </c>
      <c r="F208" s="2">
        <v>44286.439930555556</v>
      </c>
      <c r="G208" t="s">
        <v>30</v>
      </c>
      <c r="H208" s="5">
        <v>4716</v>
      </c>
      <c r="I208" s="6">
        <f t="shared" si="63"/>
        <v>47.16</v>
      </c>
      <c r="J208" s="6">
        <v>7.298</v>
      </c>
      <c r="K208" s="5">
        <v>100</v>
      </c>
      <c r="L208" s="5">
        <v>1186</v>
      </c>
      <c r="M208" s="6">
        <f t="shared" si="64"/>
        <v>11.86</v>
      </c>
      <c r="N208" s="6">
        <v>3.13</v>
      </c>
      <c r="O208" s="5">
        <v>100</v>
      </c>
      <c r="P208"/>
      <c r="Q208" s="5">
        <v>3500</v>
      </c>
      <c r="R208" s="6">
        <f t="shared" si="65"/>
        <v>35.353535353535356</v>
      </c>
      <c r="S208" s="6">
        <v>6.742</v>
      </c>
      <c r="T208" s="5">
        <v>99</v>
      </c>
      <c r="U208" s="5">
        <v>634</v>
      </c>
      <c r="V208" s="6">
        <f t="shared" si="66"/>
        <v>6.404040404040404</v>
      </c>
      <c r="W208" s="6">
        <v>2.42</v>
      </c>
      <c r="X208" s="5">
        <v>99</v>
      </c>
      <c r="Z208" s="6">
        <f t="shared" si="67"/>
        <v>3.9763912310286678</v>
      </c>
      <c r="AA208" s="6">
        <f t="shared" si="68"/>
        <v>5.5205047318611991</v>
      </c>
      <c r="AB208" s="13">
        <f t="shared" si="69"/>
        <v>0.38832031636712938</v>
      </c>
      <c r="AC208" t="s">
        <v>40</v>
      </c>
      <c r="AE208" s="14" t="s">
        <v>478</v>
      </c>
      <c r="AF208" s="9">
        <v>0.37916666666666665</v>
      </c>
      <c r="AG208" s="9">
        <v>0.44444444444444442</v>
      </c>
      <c r="AH208" s="9">
        <f t="shared" si="60"/>
        <v>6.5277777777777768E-2</v>
      </c>
      <c r="AI208" s="9">
        <f t="shared" si="61"/>
        <v>0.37916666666666665</v>
      </c>
      <c r="AJ208" s="9">
        <v>0.51944444444444449</v>
      </c>
      <c r="AK208" s="9">
        <f t="shared" si="70"/>
        <v>0.14027777777777783</v>
      </c>
      <c r="AM208" t="b">
        <v>1</v>
      </c>
    </row>
    <row r="209" spans="1:39" x14ac:dyDescent="0.3">
      <c r="A209" s="3" t="s">
        <v>475</v>
      </c>
      <c r="B209" t="s">
        <v>476</v>
      </c>
      <c r="C209" t="s">
        <v>29</v>
      </c>
      <c r="D209">
        <v>56</v>
      </c>
      <c r="E209" s="1">
        <v>23741</v>
      </c>
      <c r="F209" s="2">
        <v>44286.44390046296</v>
      </c>
      <c r="G209" t="s">
        <v>30</v>
      </c>
      <c r="H209" s="5">
        <v>1608</v>
      </c>
      <c r="I209" s="6">
        <f t="shared" si="63"/>
        <v>16.242424242424242</v>
      </c>
      <c r="J209" s="6">
        <v>4.3330000000000002</v>
      </c>
      <c r="K209" s="5">
        <v>99</v>
      </c>
      <c r="L209" s="5">
        <v>577</v>
      </c>
      <c r="M209" s="6">
        <f t="shared" si="64"/>
        <v>5.8282828282828278</v>
      </c>
      <c r="N209" s="6">
        <v>2.5990000000000002</v>
      </c>
      <c r="O209" s="5">
        <v>99</v>
      </c>
      <c r="P209"/>
      <c r="Q209" s="5">
        <v>1129</v>
      </c>
      <c r="R209" s="6">
        <f t="shared" si="65"/>
        <v>11.29</v>
      </c>
      <c r="S209" s="6">
        <v>3.1760000000000002</v>
      </c>
      <c r="T209" s="5">
        <v>100</v>
      </c>
      <c r="U209" s="5">
        <v>261</v>
      </c>
      <c r="V209" s="6">
        <f t="shared" si="66"/>
        <v>2.61</v>
      </c>
      <c r="W209" s="6">
        <v>1.792</v>
      </c>
      <c r="X209" s="5">
        <v>100</v>
      </c>
      <c r="Z209" s="6">
        <f t="shared" si="67"/>
        <v>2.7868284228769498</v>
      </c>
      <c r="AA209" s="6">
        <f t="shared" si="68"/>
        <v>4.3256704980842908</v>
      </c>
      <c r="AB209" s="13">
        <f t="shared" si="69"/>
        <v>0.55218400335487305</v>
      </c>
      <c r="AC209" t="s">
        <v>31</v>
      </c>
      <c r="AE209" s="14" t="s">
        <v>478</v>
      </c>
      <c r="AF209" s="9">
        <v>0.375</v>
      </c>
      <c r="AG209" s="9">
        <v>0.44444444444444442</v>
      </c>
      <c r="AH209" s="9">
        <f t="shared" si="60"/>
        <v>6.944444444444442E-2</v>
      </c>
      <c r="AI209" s="9">
        <f t="shared" si="61"/>
        <v>0.375</v>
      </c>
      <c r="AJ209" s="9">
        <v>0.52083333333333337</v>
      </c>
      <c r="AK209" s="9">
        <f t="shared" si="70"/>
        <v>0.14583333333333337</v>
      </c>
      <c r="AM209" t="b">
        <v>1</v>
      </c>
    </row>
    <row r="210" spans="1:39" x14ac:dyDescent="0.3">
      <c r="A210" s="3" t="s">
        <v>482</v>
      </c>
      <c r="B210" t="s">
        <v>483</v>
      </c>
      <c r="C210" t="s">
        <v>52</v>
      </c>
      <c r="D210">
        <v>75</v>
      </c>
      <c r="E210" s="1">
        <v>16779</v>
      </c>
      <c r="F210" s="2">
        <v>44288.443958333337</v>
      </c>
      <c r="G210" t="s">
        <v>30</v>
      </c>
      <c r="H210" s="5">
        <v>3098</v>
      </c>
      <c r="I210" s="6">
        <f t="shared" si="63"/>
        <v>30.98</v>
      </c>
      <c r="J210" s="6">
        <v>5.423</v>
      </c>
      <c r="K210" s="5">
        <v>100</v>
      </c>
      <c r="L210" s="5">
        <v>1189</v>
      </c>
      <c r="M210" s="6">
        <f t="shared" si="64"/>
        <v>11.89</v>
      </c>
      <c r="N210" s="6">
        <v>3.4020000000000001</v>
      </c>
      <c r="O210" s="5">
        <v>100</v>
      </c>
      <c r="P210"/>
      <c r="Q210" s="5">
        <v>2388</v>
      </c>
      <c r="R210" s="6">
        <f t="shared" si="65"/>
        <v>24.121212121212121</v>
      </c>
      <c r="S210" s="6">
        <v>5.0609999999999999</v>
      </c>
      <c r="T210" s="5">
        <v>99</v>
      </c>
      <c r="U210" s="5">
        <v>537</v>
      </c>
      <c r="V210" s="6">
        <f t="shared" si="66"/>
        <v>5.4242424242424239</v>
      </c>
      <c r="W210" s="6">
        <v>2.3479999999999999</v>
      </c>
      <c r="X210" s="5">
        <v>99</v>
      </c>
      <c r="Z210" s="6">
        <f t="shared" si="67"/>
        <v>2.6055508830950376</v>
      </c>
      <c r="AA210" s="6">
        <f t="shared" si="68"/>
        <v>4.4469273743016764</v>
      </c>
      <c r="AB210" s="13">
        <f t="shared" ref="AB210:AB233" si="71">(AA210-Z210)/Z210</f>
        <v>0.70671292706413613</v>
      </c>
      <c r="AC210" t="s">
        <v>40</v>
      </c>
      <c r="AE210" s="14" t="s">
        <v>530</v>
      </c>
      <c r="AF210" s="9">
        <v>0.38194444444444442</v>
      </c>
      <c r="AG210" s="9">
        <v>0.44444444444444442</v>
      </c>
      <c r="AH210" s="9">
        <f t="shared" si="60"/>
        <v>6.25E-2</v>
      </c>
      <c r="AI210" s="9">
        <f t="shared" si="61"/>
        <v>0.38194444444444442</v>
      </c>
      <c r="AJ210" s="9">
        <v>0.51666666666666672</v>
      </c>
      <c r="AK210" s="9">
        <f t="shared" si="70"/>
        <v>0.1347222222222223</v>
      </c>
      <c r="AM210" t="b">
        <v>1</v>
      </c>
    </row>
    <row r="211" spans="1:39" x14ac:dyDescent="0.3">
      <c r="A211" s="3" t="s">
        <v>484</v>
      </c>
      <c r="B211" t="s">
        <v>485</v>
      </c>
      <c r="C211" t="s">
        <v>52</v>
      </c>
      <c r="D211">
        <v>59</v>
      </c>
      <c r="E211" s="1">
        <v>22441</v>
      </c>
      <c r="F211" s="2">
        <v>44288.376909722225</v>
      </c>
      <c r="G211" t="s">
        <v>30</v>
      </c>
      <c r="H211" s="5">
        <v>2421</v>
      </c>
      <c r="I211" s="6">
        <f t="shared" si="63"/>
        <v>24.454545454545453</v>
      </c>
      <c r="J211" s="6">
        <v>1.264</v>
      </c>
      <c r="K211" s="5">
        <v>99</v>
      </c>
      <c r="L211" s="5">
        <v>1178</v>
      </c>
      <c r="M211" s="6">
        <f t="shared" si="64"/>
        <v>11.8989898989899</v>
      </c>
      <c r="N211" s="6">
        <v>1.613</v>
      </c>
      <c r="O211" s="5">
        <v>99</v>
      </c>
      <c r="P211"/>
      <c r="Q211" s="5">
        <v>1940</v>
      </c>
      <c r="R211" s="6">
        <f t="shared" si="65"/>
        <v>19.595959595959595</v>
      </c>
      <c r="S211" s="6">
        <v>1.115</v>
      </c>
      <c r="T211" s="5">
        <v>99</v>
      </c>
      <c r="U211" s="5">
        <v>538</v>
      </c>
      <c r="V211" s="6">
        <f t="shared" si="66"/>
        <v>5.4343434343434343</v>
      </c>
      <c r="W211" s="6">
        <v>1.042</v>
      </c>
      <c r="X211" s="5">
        <v>99</v>
      </c>
      <c r="Z211" s="6">
        <f t="shared" si="67"/>
        <v>2.0551782682512729</v>
      </c>
      <c r="AA211" s="6">
        <f t="shared" si="68"/>
        <v>3.6059479553903344</v>
      </c>
      <c r="AB211" s="13">
        <f t="shared" si="71"/>
        <v>0.75456699357695778</v>
      </c>
      <c r="AC211" t="s">
        <v>53</v>
      </c>
      <c r="AE211" s="14" t="s">
        <v>530</v>
      </c>
      <c r="AF211" s="9">
        <v>0.37708333333333338</v>
      </c>
      <c r="AG211" s="9">
        <v>0.4375</v>
      </c>
      <c r="AH211" s="9">
        <f t="shared" si="60"/>
        <v>6.0416666666666619E-2</v>
      </c>
      <c r="AI211" s="9">
        <f t="shared" si="61"/>
        <v>0.37708333333333338</v>
      </c>
      <c r="AJ211" s="9">
        <v>0.52083333333333337</v>
      </c>
      <c r="AK211" s="9">
        <f t="shared" si="70"/>
        <v>0.14374999999999999</v>
      </c>
      <c r="AM211" t="b">
        <v>1</v>
      </c>
    </row>
    <row r="212" spans="1:39" x14ac:dyDescent="0.3">
      <c r="A212" s="3" t="s">
        <v>486</v>
      </c>
      <c r="B212" t="s">
        <v>487</v>
      </c>
      <c r="C212" t="s">
        <v>52</v>
      </c>
      <c r="D212">
        <v>66</v>
      </c>
      <c r="E212" s="1">
        <v>20149</v>
      </c>
      <c r="F212" s="2">
        <v>44291.436284722222</v>
      </c>
      <c r="G212" t="s">
        <v>30</v>
      </c>
      <c r="H212" s="5">
        <v>1943</v>
      </c>
      <c r="I212" s="6">
        <f t="shared" si="63"/>
        <v>19.43</v>
      </c>
      <c r="J212" s="6">
        <v>4.8520000000000003</v>
      </c>
      <c r="K212" s="5">
        <v>100</v>
      </c>
      <c r="L212" s="5">
        <v>1152</v>
      </c>
      <c r="M212" s="6">
        <f t="shared" si="64"/>
        <v>11.52</v>
      </c>
      <c r="N212" s="6">
        <v>3.3380000000000001</v>
      </c>
      <c r="O212" s="5">
        <v>100</v>
      </c>
      <c r="P212"/>
      <c r="Q212" s="5">
        <v>1261</v>
      </c>
      <c r="R212" s="6">
        <f t="shared" si="65"/>
        <v>12.737373737373737</v>
      </c>
      <c r="S212" s="6">
        <v>3.4950000000000001</v>
      </c>
      <c r="T212" s="5">
        <v>99</v>
      </c>
      <c r="U212" s="5">
        <v>435</v>
      </c>
      <c r="V212" s="6">
        <f t="shared" si="66"/>
        <v>4.3939393939393936</v>
      </c>
      <c r="W212" s="6">
        <v>2.3029999999999999</v>
      </c>
      <c r="X212" s="5">
        <v>99</v>
      </c>
      <c r="Z212" s="6">
        <f t="shared" si="67"/>
        <v>1.6866319444444444</v>
      </c>
      <c r="AA212" s="6">
        <f t="shared" si="68"/>
        <v>2.8988505747126436</v>
      </c>
      <c r="AB212" s="13">
        <f t="shared" si="71"/>
        <v>0.71872149360214388</v>
      </c>
      <c r="AC212" t="s">
        <v>31</v>
      </c>
      <c r="AE212" s="14" t="s">
        <v>530</v>
      </c>
      <c r="AF212" s="9">
        <v>0.37638888888888888</v>
      </c>
      <c r="AG212" s="9">
        <v>0.44444444444444442</v>
      </c>
      <c r="AH212" s="9">
        <f t="shared" si="60"/>
        <v>6.8055555555555536E-2</v>
      </c>
      <c r="AI212" s="9">
        <f t="shared" si="61"/>
        <v>0.37638888888888888</v>
      </c>
      <c r="AJ212" s="9">
        <v>0.52083333333333337</v>
      </c>
      <c r="AK212" s="9">
        <f t="shared" si="70"/>
        <v>0.14444444444444449</v>
      </c>
      <c r="AM212" t="b">
        <v>1</v>
      </c>
    </row>
    <row r="213" spans="1:39" x14ac:dyDescent="0.3">
      <c r="A213" s="3" t="s">
        <v>488</v>
      </c>
      <c r="B213" t="s">
        <v>489</v>
      </c>
      <c r="C213" t="s">
        <v>52</v>
      </c>
      <c r="D213">
        <v>75</v>
      </c>
      <c r="E213" s="1">
        <v>16812</v>
      </c>
      <c r="F213" s="2">
        <v>44293.422372685185</v>
      </c>
      <c r="G213" t="s">
        <v>30</v>
      </c>
      <c r="H213" s="5">
        <v>2973</v>
      </c>
      <c r="I213" s="6">
        <f t="shared" si="63"/>
        <v>29.73</v>
      </c>
      <c r="J213" s="6">
        <v>5.9349999999999996</v>
      </c>
      <c r="K213" s="5">
        <v>100</v>
      </c>
      <c r="L213" s="5">
        <v>1924</v>
      </c>
      <c r="M213" s="6">
        <f t="shared" si="64"/>
        <v>19.239999999999998</v>
      </c>
      <c r="N213" s="6">
        <v>4.3159999999999998</v>
      </c>
      <c r="O213" s="5">
        <v>100</v>
      </c>
      <c r="P213"/>
      <c r="Q213" s="5">
        <v>2060</v>
      </c>
      <c r="R213" s="6">
        <f t="shared" si="65"/>
        <v>20.80808080808081</v>
      </c>
      <c r="S213" s="6">
        <v>5.1920000000000002</v>
      </c>
      <c r="T213" s="5">
        <v>99</v>
      </c>
      <c r="U213" s="5">
        <v>654</v>
      </c>
      <c r="V213" s="6">
        <f t="shared" si="66"/>
        <v>6.6060606060606064</v>
      </c>
      <c r="W213" s="7">
        <v>2.2029999999999998</v>
      </c>
      <c r="X213" s="5">
        <v>99</v>
      </c>
      <c r="Z213" s="6">
        <f t="shared" si="67"/>
        <v>1.5452182952182953</v>
      </c>
      <c r="AA213" s="6">
        <f t="shared" si="68"/>
        <v>3.1498470948012232</v>
      </c>
      <c r="AB213" s="13">
        <f t="shared" si="71"/>
        <v>1.0384479685158268</v>
      </c>
      <c r="AC213" t="s">
        <v>40</v>
      </c>
      <c r="AE213" s="14" t="s">
        <v>531</v>
      </c>
      <c r="AF213" s="9">
        <v>0.38680555555555557</v>
      </c>
      <c r="AG213" s="9">
        <v>0.44097222222222227</v>
      </c>
      <c r="AH213" s="9">
        <f t="shared" si="60"/>
        <v>5.4166666666666696E-2</v>
      </c>
      <c r="AI213" s="9">
        <f t="shared" si="61"/>
        <v>0.38680555555555557</v>
      </c>
      <c r="AJ213" s="9">
        <v>0.54513888888888895</v>
      </c>
      <c r="AK213" s="9">
        <f t="shared" si="70"/>
        <v>0.15833333333333338</v>
      </c>
      <c r="AM213" t="b">
        <v>1</v>
      </c>
    </row>
    <row r="214" spans="1:39" x14ac:dyDescent="0.3">
      <c r="A214" s="3" t="s">
        <v>490</v>
      </c>
      <c r="B214" t="s">
        <v>491</v>
      </c>
      <c r="C214" t="s">
        <v>52</v>
      </c>
      <c r="D214">
        <v>62</v>
      </c>
      <c r="E214" s="1">
        <v>21414</v>
      </c>
      <c r="F214" s="2">
        <v>44293.423483796294</v>
      </c>
      <c r="G214" t="s">
        <v>30</v>
      </c>
      <c r="H214" s="5">
        <v>1407</v>
      </c>
      <c r="I214" s="6">
        <f t="shared" si="63"/>
        <v>14.212121212121213</v>
      </c>
      <c r="J214" s="6">
        <v>3.855</v>
      </c>
      <c r="K214" s="5">
        <v>99</v>
      </c>
      <c r="L214" s="5">
        <v>1042</v>
      </c>
      <c r="M214" s="6">
        <f t="shared" si="64"/>
        <v>10.525252525252526</v>
      </c>
      <c r="N214" s="6">
        <v>3.0750000000000002</v>
      </c>
      <c r="O214" s="5">
        <v>99</v>
      </c>
      <c r="P214"/>
      <c r="Q214" s="5">
        <v>984</v>
      </c>
      <c r="R214" s="6">
        <f t="shared" si="65"/>
        <v>9.84</v>
      </c>
      <c r="S214" s="6">
        <v>3.4630000000000001</v>
      </c>
      <c r="T214" s="5">
        <v>100</v>
      </c>
      <c r="U214" s="5">
        <v>423</v>
      </c>
      <c r="V214" s="6">
        <f t="shared" si="66"/>
        <v>4.2300000000000004</v>
      </c>
      <c r="W214" s="7">
        <v>2.0640000000000001</v>
      </c>
      <c r="X214" s="5">
        <v>100</v>
      </c>
      <c r="Z214" s="6">
        <f t="shared" si="67"/>
        <v>1.3502879078694818</v>
      </c>
      <c r="AA214" s="6">
        <f t="shared" si="68"/>
        <v>2.3262411347517729</v>
      </c>
      <c r="AB214" s="13">
        <f t="shared" si="71"/>
        <v>0.72277417371097885</v>
      </c>
      <c r="AC214" t="s">
        <v>31</v>
      </c>
      <c r="AE214" s="14" t="s">
        <v>530</v>
      </c>
      <c r="AF214" s="9">
        <v>0.37222222222222223</v>
      </c>
      <c r="AG214" s="9">
        <v>0.4236111111111111</v>
      </c>
      <c r="AH214" s="9">
        <f t="shared" si="60"/>
        <v>5.1388888888888873E-2</v>
      </c>
      <c r="AI214" s="9">
        <f t="shared" si="61"/>
        <v>0.37222222222222223</v>
      </c>
      <c r="AJ214" s="9">
        <v>0.52083333333333337</v>
      </c>
      <c r="AK214" s="9">
        <f t="shared" si="70"/>
        <v>0.14861111111111114</v>
      </c>
      <c r="AM214" t="b">
        <v>1</v>
      </c>
    </row>
    <row r="215" spans="1:39" x14ac:dyDescent="0.3">
      <c r="A215" s="3" t="s">
        <v>492</v>
      </c>
      <c r="B215" t="s">
        <v>493</v>
      </c>
      <c r="C215" t="s">
        <v>29</v>
      </c>
      <c r="D215">
        <v>62</v>
      </c>
      <c r="E215" s="1">
        <v>21332</v>
      </c>
      <c r="F215" s="2">
        <v>44294.438796296294</v>
      </c>
      <c r="G215" t="s">
        <v>30</v>
      </c>
      <c r="H215" s="5">
        <v>3027</v>
      </c>
      <c r="I215" s="6">
        <f t="shared" si="63"/>
        <v>30.575757575757574</v>
      </c>
      <c r="J215" s="6">
        <v>5.41</v>
      </c>
      <c r="K215" s="5">
        <v>99</v>
      </c>
      <c r="L215" s="5">
        <v>1354</v>
      </c>
      <c r="M215" s="6">
        <f t="shared" si="64"/>
        <v>13.676767676767676</v>
      </c>
      <c r="N215" s="6">
        <v>3.5569999999999999</v>
      </c>
      <c r="O215" s="5">
        <v>99</v>
      </c>
      <c r="P215"/>
      <c r="Q215" s="5">
        <v>2147</v>
      </c>
      <c r="R215" s="6">
        <f t="shared" si="65"/>
        <v>21.686868686868689</v>
      </c>
      <c r="S215" s="6">
        <v>4.7519999999999998</v>
      </c>
      <c r="T215" s="5">
        <v>99</v>
      </c>
      <c r="U215" s="5">
        <v>473</v>
      </c>
      <c r="V215" s="6">
        <f t="shared" si="66"/>
        <v>4.7777777777777777</v>
      </c>
      <c r="W215" s="7">
        <v>2.1739999999999999</v>
      </c>
      <c r="X215" s="5">
        <v>99</v>
      </c>
      <c r="Z215" s="6">
        <f t="shared" si="67"/>
        <v>2.2355982274741506</v>
      </c>
      <c r="AA215" s="6">
        <f t="shared" si="68"/>
        <v>4.5391120507399583</v>
      </c>
      <c r="AB215" s="13">
        <f t="shared" si="71"/>
        <v>1.0303791597958056</v>
      </c>
      <c r="AC215" t="s">
        <v>40</v>
      </c>
      <c r="AE215" s="14" t="s">
        <v>531</v>
      </c>
      <c r="AF215" s="9">
        <v>0.40208333333333335</v>
      </c>
      <c r="AG215" s="9">
        <v>0.44444444444444442</v>
      </c>
      <c r="AH215" s="9">
        <f t="shared" si="60"/>
        <v>4.2361111111111072E-2</v>
      </c>
      <c r="AI215" s="9">
        <f t="shared" si="61"/>
        <v>0.40208333333333335</v>
      </c>
      <c r="AJ215" s="9">
        <v>0.53472222222222221</v>
      </c>
      <c r="AK215" s="9">
        <f t="shared" si="70"/>
        <v>0.13263888888888886</v>
      </c>
      <c r="AM215" t="b">
        <v>1</v>
      </c>
    </row>
    <row r="216" spans="1:39" x14ac:dyDescent="0.3">
      <c r="A216" s="3" t="s">
        <v>494</v>
      </c>
      <c r="B216" t="s">
        <v>495</v>
      </c>
      <c r="C216" t="s">
        <v>29</v>
      </c>
      <c r="D216">
        <v>44</v>
      </c>
      <c r="E216" s="1">
        <v>27924</v>
      </c>
      <c r="F216" s="2">
        <v>44294.444907407407</v>
      </c>
      <c r="G216" t="s">
        <v>30</v>
      </c>
      <c r="H216" s="5">
        <v>2084</v>
      </c>
      <c r="I216" s="6">
        <f t="shared" si="63"/>
        <v>20.84</v>
      </c>
      <c r="J216" s="6">
        <v>4.9189999999999996</v>
      </c>
      <c r="K216" s="5">
        <v>100</v>
      </c>
      <c r="L216" s="5">
        <v>521</v>
      </c>
      <c r="M216" s="6">
        <f t="shared" si="64"/>
        <v>5.21</v>
      </c>
      <c r="N216" s="6">
        <v>2.319</v>
      </c>
      <c r="O216" s="5">
        <v>100</v>
      </c>
      <c r="P216"/>
      <c r="Q216" s="5">
        <v>1592</v>
      </c>
      <c r="R216" s="6">
        <f t="shared" si="65"/>
        <v>16.08080808080808</v>
      </c>
      <c r="S216" s="6">
        <v>3.9449999999999998</v>
      </c>
      <c r="T216" s="5">
        <v>99</v>
      </c>
      <c r="U216" s="5">
        <v>245</v>
      </c>
      <c r="V216" s="6">
        <f t="shared" si="66"/>
        <v>2.4747474747474749</v>
      </c>
      <c r="W216" s="6">
        <v>1.593</v>
      </c>
      <c r="X216" s="5">
        <v>99</v>
      </c>
      <c r="Z216" s="6">
        <f t="shared" si="67"/>
        <v>4</v>
      </c>
      <c r="AA216" s="6">
        <f t="shared" si="68"/>
        <v>6.4979591836734683</v>
      </c>
      <c r="AB216" s="13">
        <f t="shared" si="71"/>
        <v>0.62448979591836706</v>
      </c>
      <c r="AC216" t="s">
        <v>31</v>
      </c>
      <c r="AE216" s="14" t="s">
        <v>530</v>
      </c>
      <c r="AF216" s="9">
        <v>0.36388888888888887</v>
      </c>
      <c r="AG216" s="9">
        <v>0.44444444444444442</v>
      </c>
      <c r="AH216" s="9">
        <f t="shared" si="60"/>
        <v>8.0555555555555547E-2</v>
      </c>
      <c r="AI216" s="9">
        <f t="shared" si="61"/>
        <v>0.36388888888888887</v>
      </c>
      <c r="AJ216" s="9">
        <v>0.52083333333333337</v>
      </c>
      <c r="AK216" s="9">
        <f t="shared" si="70"/>
        <v>0.1569444444444445</v>
      </c>
      <c r="AM216" t="b">
        <v>1</v>
      </c>
    </row>
    <row r="217" spans="1:39" x14ac:dyDescent="0.3">
      <c r="A217" s="3" t="s">
        <v>496</v>
      </c>
      <c r="B217" t="s">
        <v>497</v>
      </c>
      <c r="C217" t="s">
        <v>52</v>
      </c>
      <c r="D217">
        <v>62</v>
      </c>
      <c r="E217" s="1">
        <v>21592</v>
      </c>
      <c r="F217" s="2">
        <v>44295.449236111112</v>
      </c>
      <c r="G217" t="s">
        <v>30</v>
      </c>
      <c r="H217" s="5">
        <v>3545</v>
      </c>
      <c r="I217" s="6">
        <f t="shared" si="63"/>
        <v>35.80808080808081</v>
      </c>
      <c r="J217" s="6">
        <v>6.266</v>
      </c>
      <c r="K217" s="5">
        <v>99</v>
      </c>
      <c r="L217" s="5">
        <v>1500</v>
      </c>
      <c r="M217" s="6">
        <f t="shared" si="64"/>
        <v>15.151515151515152</v>
      </c>
      <c r="N217" s="6">
        <v>4.4930000000000003</v>
      </c>
      <c r="O217" s="5">
        <v>99</v>
      </c>
      <c r="P217"/>
      <c r="Q217" s="5">
        <v>2911</v>
      </c>
      <c r="R217" s="6">
        <f t="shared" si="65"/>
        <v>29.404040404040405</v>
      </c>
      <c r="S217" s="6">
        <v>6.0389999999999997</v>
      </c>
      <c r="T217" s="5">
        <v>99</v>
      </c>
      <c r="U217" s="5">
        <v>493</v>
      </c>
      <c r="V217" s="6">
        <f t="shared" si="66"/>
        <v>4.9797979797979801</v>
      </c>
      <c r="W217" s="6">
        <v>2.65</v>
      </c>
      <c r="X217" s="5">
        <v>99</v>
      </c>
      <c r="Z217" s="6">
        <f t="shared" si="67"/>
        <v>2.3633333333333333</v>
      </c>
      <c r="AA217" s="6">
        <f t="shared" si="68"/>
        <v>5.9046653144016226</v>
      </c>
      <c r="AB217" s="13">
        <f t="shared" si="71"/>
        <v>1.4984479468554115</v>
      </c>
      <c r="AC217" t="s">
        <v>31</v>
      </c>
      <c r="AE217" s="14" t="s">
        <v>530</v>
      </c>
      <c r="AF217" s="9">
        <v>0.40277777777777773</v>
      </c>
      <c r="AG217" s="9">
        <v>0.44444444444444442</v>
      </c>
      <c r="AH217" s="9">
        <f t="shared" si="60"/>
        <v>4.1666666666666685E-2</v>
      </c>
      <c r="AI217" s="9">
        <f t="shared" si="61"/>
        <v>0.40277777777777773</v>
      </c>
      <c r="AJ217" s="9">
        <v>0.54861111111111105</v>
      </c>
      <c r="AK217" s="9">
        <f t="shared" si="70"/>
        <v>0.14583333333333331</v>
      </c>
      <c r="AM217" t="b">
        <v>1</v>
      </c>
    </row>
    <row r="218" spans="1:39" x14ac:dyDescent="0.3">
      <c r="A218" s="3" t="s">
        <v>498</v>
      </c>
      <c r="B218" t="s">
        <v>499</v>
      </c>
      <c r="C218" t="s">
        <v>29</v>
      </c>
      <c r="D218">
        <v>39</v>
      </c>
      <c r="E218" s="1">
        <v>29886</v>
      </c>
      <c r="F218" s="2">
        <v>44299.439791666664</v>
      </c>
      <c r="G218" t="s">
        <v>30</v>
      </c>
      <c r="H218" s="5">
        <v>1926</v>
      </c>
      <c r="I218" s="6">
        <f t="shared" si="63"/>
        <v>19.260000000000002</v>
      </c>
      <c r="J218" s="6">
        <v>4.53</v>
      </c>
      <c r="K218" s="5">
        <v>100</v>
      </c>
      <c r="L218" s="5">
        <v>1325</v>
      </c>
      <c r="M218" s="6">
        <f t="shared" si="64"/>
        <v>13.25</v>
      </c>
      <c r="N218" s="6">
        <v>3.891</v>
      </c>
      <c r="O218" s="5">
        <v>100</v>
      </c>
      <c r="P218"/>
      <c r="Q218" s="5">
        <v>1085</v>
      </c>
      <c r="R218" s="6">
        <f t="shared" si="65"/>
        <v>10.95959595959596</v>
      </c>
      <c r="S218" s="6">
        <v>3.577</v>
      </c>
      <c r="T218" s="5">
        <v>99</v>
      </c>
      <c r="U218" s="5">
        <v>380</v>
      </c>
      <c r="V218" s="6">
        <f t="shared" si="66"/>
        <v>3.8383838383838382</v>
      </c>
      <c r="W218" s="6">
        <v>2.0089999999999999</v>
      </c>
      <c r="X218" s="5">
        <v>99</v>
      </c>
      <c r="Z218" s="6">
        <f t="shared" si="67"/>
        <v>1.4535849056603776</v>
      </c>
      <c r="AA218" s="6">
        <f t="shared" si="68"/>
        <v>2.8552631578947372</v>
      </c>
      <c r="AB218" s="13">
        <f t="shared" si="71"/>
        <v>0.96429059408646223</v>
      </c>
      <c r="AC218" t="s">
        <v>40</v>
      </c>
      <c r="AE218" s="14" t="s">
        <v>530</v>
      </c>
      <c r="AF218" s="9">
        <v>0.40347222222222223</v>
      </c>
      <c r="AG218" s="9">
        <v>0.44444444444444442</v>
      </c>
      <c r="AH218" s="9">
        <f t="shared" si="60"/>
        <v>4.0972222222222188E-2</v>
      </c>
      <c r="AI218" s="9">
        <f t="shared" si="61"/>
        <v>0.40347222222222223</v>
      </c>
      <c r="AJ218" s="9">
        <v>0.54166666666666663</v>
      </c>
      <c r="AK218" s="9">
        <f t="shared" si="70"/>
        <v>0.1381944444444444</v>
      </c>
      <c r="AM218" t="b">
        <v>1</v>
      </c>
    </row>
    <row r="219" spans="1:39" x14ac:dyDescent="0.3">
      <c r="A219" s="3" t="s">
        <v>500</v>
      </c>
      <c r="B219" t="s">
        <v>501</v>
      </c>
      <c r="C219" t="s">
        <v>29</v>
      </c>
      <c r="D219">
        <v>47</v>
      </c>
      <c r="E219" s="1">
        <v>26996</v>
      </c>
      <c r="F219" s="2">
        <v>44300.438773148147</v>
      </c>
      <c r="G219" t="s">
        <v>30</v>
      </c>
      <c r="H219" s="5">
        <v>1704</v>
      </c>
      <c r="I219" s="6">
        <f t="shared" si="63"/>
        <v>17.04</v>
      </c>
      <c r="J219" s="6">
        <v>4.5970000000000004</v>
      </c>
      <c r="K219" s="5">
        <v>100</v>
      </c>
      <c r="L219" s="5">
        <v>963</v>
      </c>
      <c r="M219" s="6">
        <f t="shared" si="64"/>
        <v>9.6300000000000008</v>
      </c>
      <c r="N219" s="6">
        <v>3.3319999999999999</v>
      </c>
      <c r="O219" s="5">
        <v>100</v>
      </c>
      <c r="P219"/>
      <c r="Q219" s="5">
        <v>950</v>
      </c>
      <c r="R219" s="6">
        <f t="shared" si="65"/>
        <v>9.5959595959595951</v>
      </c>
      <c r="S219" s="6">
        <v>3.4729999999999999</v>
      </c>
      <c r="T219" s="5">
        <v>99</v>
      </c>
      <c r="U219" s="5">
        <v>375</v>
      </c>
      <c r="V219" s="6">
        <f t="shared" si="66"/>
        <v>3.7878787878787881</v>
      </c>
      <c r="W219" s="7">
        <v>2.37</v>
      </c>
      <c r="X219" s="5">
        <v>99</v>
      </c>
      <c r="Z219" s="6">
        <f t="shared" si="67"/>
        <v>1.7694704049844234</v>
      </c>
      <c r="AA219" s="6">
        <f t="shared" si="68"/>
        <v>2.5333333333333328</v>
      </c>
      <c r="AB219" s="13">
        <f t="shared" si="71"/>
        <v>0.43169014084507029</v>
      </c>
      <c r="AC219" t="s">
        <v>31</v>
      </c>
      <c r="AE219" s="14" t="s">
        <v>530</v>
      </c>
      <c r="AF219" s="9">
        <v>0.37708333333333338</v>
      </c>
      <c r="AG219" s="9">
        <v>0.44444444444444442</v>
      </c>
      <c r="AH219" s="9">
        <f t="shared" si="60"/>
        <v>6.7361111111111038E-2</v>
      </c>
      <c r="AI219" s="9">
        <f t="shared" si="61"/>
        <v>0.37708333333333338</v>
      </c>
      <c r="AJ219" s="9">
        <v>0.52083333333333337</v>
      </c>
      <c r="AK219" s="9">
        <f t="shared" si="70"/>
        <v>0.14374999999999999</v>
      </c>
      <c r="AM219" t="b">
        <v>1</v>
      </c>
    </row>
    <row r="220" spans="1:39" x14ac:dyDescent="0.3">
      <c r="A220" s="3" t="s">
        <v>502</v>
      </c>
      <c r="B220" t="s">
        <v>503</v>
      </c>
      <c r="C220" t="s">
        <v>29</v>
      </c>
      <c r="D220">
        <v>44</v>
      </c>
      <c r="E220" s="1">
        <v>27992</v>
      </c>
      <c r="F220" s="2">
        <v>44300.447141203702</v>
      </c>
      <c r="G220" t="s">
        <v>30</v>
      </c>
      <c r="H220" s="5">
        <v>2700</v>
      </c>
      <c r="I220" s="6">
        <f t="shared" si="63"/>
        <v>27</v>
      </c>
      <c r="J220" s="6">
        <v>1.2390000000000001</v>
      </c>
      <c r="K220" s="5">
        <v>100</v>
      </c>
      <c r="L220" s="5">
        <v>1346</v>
      </c>
      <c r="M220" s="6">
        <f t="shared" si="64"/>
        <v>13.46</v>
      </c>
      <c r="N220" s="6">
        <v>1.52</v>
      </c>
      <c r="O220" s="5">
        <v>100</v>
      </c>
      <c r="P220"/>
      <c r="Q220" s="5">
        <v>1884</v>
      </c>
      <c r="R220" s="6">
        <f t="shared" si="65"/>
        <v>19.030303030303031</v>
      </c>
      <c r="S220" s="6">
        <v>1.6930000000000001</v>
      </c>
      <c r="T220" s="5">
        <v>99</v>
      </c>
      <c r="U220" s="5">
        <v>511</v>
      </c>
      <c r="V220" s="6">
        <f t="shared" si="66"/>
        <v>5.1616161616161618</v>
      </c>
      <c r="W220" s="7">
        <v>0.76500000000000001</v>
      </c>
      <c r="X220" s="5">
        <v>99</v>
      </c>
      <c r="Z220" s="6">
        <f t="shared" si="67"/>
        <v>2.0059435364041605</v>
      </c>
      <c r="AA220" s="6">
        <f t="shared" si="68"/>
        <v>3.6868884540117417</v>
      </c>
      <c r="AB220" s="13">
        <f t="shared" si="71"/>
        <v>0.83798217003696462</v>
      </c>
      <c r="AC220" t="s">
        <v>39</v>
      </c>
      <c r="AE220" s="14" t="s">
        <v>531</v>
      </c>
      <c r="AF220" s="9">
        <v>0.38750000000000001</v>
      </c>
      <c r="AG220" s="9">
        <v>0.44444444444444442</v>
      </c>
      <c r="AH220" s="9">
        <f t="shared" si="60"/>
        <v>5.6944444444444409E-2</v>
      </c>
      <c r="AI220" s="9">
        <f t="shared" si="61"/>
        <v>0.38750000000000001</v>
      </c>
      <c r="AJ220" s="9">
        <v>0.53472222222222221</v>
      </c>
      <c r="AK220" s="9">
        <f t="shared" si="70"/>
        <v>0.1472222222222222</v>
      </c>
      <c r="AM220" t="b">
        <v>1</v>
      </c>
    </row>
    <row r="221" spans="1:39" x14ac:dyDescent="0.3">
      <c r="A221" s="3" t="s">
        <v>504</v>
      </c>
      <c r="B221" t="s">
        <v>505</v>
      </c>
      <c r="C221" t="s">
        <v>29</v>
      </c>
      <c r="D221">
        <v>64</v>
      </c>
      <c r="E221" s="1">
        <v>20821</v>
      </c>
      <c r="F221" s="2">
        <v>44301.431967592594</v>
      </c>
      <c r="G221" t="s">
        <v>30</v>
      </c>
      <c r="H221" s="5">
        <v>2501</v>
      </c>
      <c r="I221" s="6">
        <f t="shared" si="63"/>
        <v>25.01</v>
      </c>
      <c r="J221" s="6">
        <v>2.177</v>
      </c>
      <c r="K221" s="5">
        <v>100</v>
      </c>
      <c r="L221" s="5">
        <v>1291</v>
      </c>
      <c r="M221" s="6">
        <f t="shared" si="64"/>
        <v>12.91</v>
      </c>
      <c r="N221" s="6">
        <v>1.264</v>
      </c>
      <c r="O221" s="5">
        <v>100</v>
      </c>
      <c r="P221"/>
      <c r="Q221" s="5">
        <v>1807</v>
      </c>
      <c r="R221" s="6">
        <f t="shared" si="65"/>
        <v>18.252525252525253</v>
      </c>
      <c r="S221" s="6">
        <v>1.514</v>
      </c>
      <c r="T221" s="5">
        <v>99</v>
      </c>
      <c r="U221" s="5">
        <v>513</v>
      </c>
      <c r="V221" s="6">
        <f t="shared" si="66"/>
        <v>5.1818181818181817</v>
      </c>
      <c r="W221" s="6">
        <v>1.004</v>
      </c>
      <c r="X221" s="5">
        <v>99</v>
      </c>
      <c r="Z221" s="6">
        <f t="shared" si="67"/>
        <v>1.9372579395817198</v>
      </c>
      <c r="AA221" s="6">
        <f t="shared" si="68"/>
        <v>3.5224171539961016</v>
      </c>
      <c r="AB221" s="13">
        <f t="shared" si="71"/>
        <v>0.8182489187560843</v>
      </c>
      <c r="AC221" t="s">
        <v>39</v>
      </c>
      <c r="AE221" s="14" t="s">
        <v>530</v>
      </c>
      <c r="AF221" s="9">
        <v>0.38541666666666669</v>
      </c>
      <c r="AG221" s="9">
        <v>0.44444444444444442</v>
      </c>
      <c r="AH221" s="9">
        <f t="shared" si="60"/>
        <v>5.9027777777777735E-2</v>
      </c>
      <c r="AI221" s="9">
        <f t="shared" si="61"/>
        <v>0.38541666666666669</v>
      </c>
      <c r="AJ221" s="9">
        <v>0.52083333333333337</v>
      </c>
      <c r="AK221" s="9">
        <f t="shared" si="70"/>
        <v>0.13541666666666669</v>
      </c>
      <c r="AM221" t="b">
        <v>1</v>
      </c>
    </row>
    <row r="222" spans="1:39" x14ac:dyDescent="0.3">
      <c r="A222" s="3" t="s">
        <v>506</v>
      </c>
      <c r="B222" t="s">
        <v>507</v>
      </c>
      <c r="C222" t="s">
        <v>29</v>
      </c>
      <c r="D222">
        <v>48</v>
      </c>
      <c r="E222" s="1">
        <v>26470</v>
      </c>
      <c r="F222" s="2">
        <v>44305.442719907405</v>
      </c>
      <c r="G222" t="s">
        <v>30</v>
      </c>
      <c r="H222" s="5">
        <v>1742</v>
      </c>
      <c r="I222" s="6">
        <f t="shared" si="63"/>
        <v>17.595959595959595</v>
      </c>
      <c r="J222" s="6">
        <v>4.4580000000000002</v>
      </c>
      <c r="K222" s="5">
        <v>99</v>
      </c>
      <c r="L222" s="5">
        <v>1092</v>
      </c>
      <c r="M222" s="6">
        <f t="shared" si="64"/>
        <v>11.030303030303031</v>
      </c>
      <c r="N222" s="6">
        <v>3.3460000000000001</v>
      </c>
      <c r="O222" s="5">
        <v>99</v>
      </c>
      <c r="P222"/>
      <c r="Q222" s="5">
        <v>1045</v>
      </c>
      <c r="R222" s="6">
        <f t="shared" si="65"/>
        <v>10.45</v>
      </c>
      <c r="S222" s="6">
        <v>3.3130000000000002</v>
      </c>
      <c r="T222" s="5">
        <v>100</v>
      </c>
      <c r="U222" s="5">
        <v>472</v>
      </c>
      <c r="V222" s="6">
        <f t="shared" si="66"/>
        <v>4.72</v>
      </c>
      <c r="W222" s="6">
        <v>2.2789999999999999</v>
      </c>
      <c r="X222" s="5">
        <v>100</v>
      </c>
      <c r="Z222" s="6">
        <f t="shared" si="67"/>
        <v>1.5952380952380951</v>
      </c>
      <c r="AA222" s="6">
        <f t="shared" si="68"/>
        <v>2.2139830508474576</v>
      </c>
      <c r="AB222" s="13">
        <f t="shared" si="71"/>
        <v>0.38786997217303321</v>
      </c>
      <c r="AC222" t="s">
        <v>31</v>
      </c>
      <c r="AE222" s="14" t="s">
        <v>530</v>
      </c>
      <c r="AF222" s="9">
        <v>0.37916666666666665</v>
      </c>
      <c r="AG222" s="9">
        <v>0.44444444444444442</v>
      </c>
      <c r="AH222" s="9">
        <f t="shared" si="60"/>
        <v>6.5277777777777768E-2</v>
      </c>
      <c r="AI222" s="9">
        <f t="shared" si="61"/>
        <v>0.37916666666666665</v>
      </c>
      <c r="AJ222" s="9">
        <v>0.52083333333333337</v>
      </c>
      <c r="AK222" s="9">
        <f t="shared" si="70"/>
        <v>0.14166666666666672</v>
      </c>
      <c r="AM222" t="b">
        <v>1</v>
      </c>
    </row>
    <row r="223" spans="1:39" x14ac:dyDescent="0.3">
      <c r="A223" s="3" t="s">
        <v>508</v>
      </c>
      <c r="B223" t="s">
        <v>509</v>
      </c>
      <c r="C223" t="s">
        <v>29</v>
      </c>
      <c r="D223">
        <v>47</v>
      </c>
      <c r="E223" s="1">
        <v>26894</v>
      </c>
      <c r="F223" s="2">
        <v>44306.409872685188</v>
      </c>
      <c r="G223" t="s">
        <v>30</v>
      </c>
      <c r="H223" s="5">
        <v>3061</v>
      </c>
      <c r="I223" s="6">
        <f t="shared" si="63"/>
        <v>30.91919191919192</v>
      </c>
      <c r="J223" s="6">
        <v>5.6890000000000001</v>
      </c>
      <c r="K223" s="5">
        <v>99</v>
      </c>
      <c r="L223" s="5">
        <v>1683</v>
      </c>
      <c r="M223" s="6">
        <f t="shared" si="64"/>
        <v>17</v>
      </c>
      <c r="N223" s="6">
        <v>4.5220000000000002</v>
      </c>
      <c r="O223" s="5">
        <v>99</v>
      </c>
      <c r="P223"/>
      <c r="Q223" s="5">
        <v>1953</v>
      </c>
      <c r="R223" s="6">
        <f t="shared" si="65"/>
        <v>19.727272727272727</v>
      </c>
      <c r="S223" s="6">
        <v>4.3490000000000002</v>
      </c>
      <c r="T223" s="5">
        <v>99</v>
      </c>
      <c r="U223" s="5">
        <v>391</v>
      </c>
      <c r="V223" s="6">
        <f t="shared" si="66"/>
        <v>3.9494949494949494</v>
      </c>
      <c r="W223" s="6">
        <v>1.859</v>
      </c>
      <c r="X223" s="5">
        <v>99</v>
      </c>
      <c r="Z223" s="6">
        <f t="shared" si="67"/>
        <v>1.8187759952465836</v>
      </c>
      <c r="AA223" s="6">
        <f t="shared" si="68"/>
        <v>4.9948849104859336</v>
      </c>
      <c r="AB223" s="13">
        <f t="shared" si="71"/>
        <v>1.7462892206298026</v>
      </c>
      <c r="AC223" t="s">
        <v>40</v>
      </c>
      <c r="AE223" s="14" t="s">
        <v>532</v>
      </c>
      <c r="AF223" s="9">
        <v>0.40277777777777773</v>
      </c>
      <c r="AG223" s="9">
        <v>0.44444444444444442</v>
      </c>
      <c r="AH223" s="9">
        <f t="shared" ref="AH223:AH286" si="72">AG223-AF223</f>
        <v>4.1666666666666685E-2</v>
      </c>
      <c r="AI223" s="9">
        <f t="shared" ref="AI223:AI286" si="73">AF223</f>
        <v>0.40277777777777773</v>
      </c>
      <c r="AJ223" s="9">
        <v>0.54513888888888895</v>
      </c>
      <c r="AK223" s="9">
        <f t="shared" si="70"/>
        <v>0.14236111111111122</v>
      </c>
      <c r="AM223" t="b">
        <v>1</v>
      </c>
    </row>
    <row r="224" spans="1:39" x14ac:dyDescent="0.3">
      <c r="A224" s="3" t="s">
        <v>510</v>
      </c>
      <c r="B224" t="s">
        <v>511</v>
      </c>
      <c r="C224" t="s">
        <v>29</v>
      </c>
      <c r="D224">
        <v>50</v>
      </c>
      <c r="E224" s="1">
        <v>25877</v>
      </c>
      <c r="F224" s="2">
        <v>44306.403506944444</v>
      </c>
      <c r="G224" t="s">
        <v>30</v>
      </c>
      <c r="H224" s="5">
        <v>2335</v>
      </c>
      <c r="I224" s="6">
        <f t="shared" si="63"/>
        <v>23.585858585858585</v>
      </c>
      <c r="J224" s="6">
        <v>1.464</v>
      </c>
      <c r="K224" s="5">
        <v>99</v>
      </c>
      <c r="L224" s="5">
        <v>1038</v>
      </c>
      <c r="M224" s="6">
        <f t="shared" si="64"/>
        <v>10.484848484848484</v>
      </c>
      <c r="N224" s="6">
        <v>1.2889999999999999</v>
      </c>
      <c r="O224" s="5">
        <v>99</v>
      </c>
      <c r="P224"/>
      <c r="Q224" s="5">
        <v>1451</v>
      </c>
      <c r="R224" s="6">
        <f t="shared" si="65"/>
        <v>14.51</v>
      </c>
      <c r="S224" s="6">
        <v>1.1930000000000001</v>
      </c>
      <c r="T224" s="5">
        <v>100</v>
      </c>
      <c r="U224" s="5">
        <v>322</v>
      </c>
      <c r="V224" s="6">
        <f t="shared" si="66"/>
        <v>3.22</v>
      </c>
      <c r="W224" s="6">
        <v>0.504</v>
      </c>
      <c r="X224" s="5">
        <v>100</v>
      </c>
      <c r="Z224" s="6">
        <f t="shared" si="67"/>
        <v>2.2495183044315992</v>
      </c>
      <c r="AA224" s="6">
        <f t="shared" si="68"/>
        <v>4.5062111801242235</v>
      </c>
      <c r="AB224" s="13">
        <f t="shared" si="71"/>
        <v>1.0031893811430168</v>
      </c>
      <c r="AC224" t="s">
        <v>53</v>
      </c>
      <c r="AE224" s="14" t="s">
        <v>530</v>
      </c>
      <c r="AF224" s="9">
        <v>0.39444444444444443</v>
      </c>
      <c r="AG224" s="9">
        <v>0.44444444444444442</v>
      </c>
      <c r="AH224" s="9">
        <f t="shared" si="72"/>
        <v>4.9999999999999989E-2</v>
      </c>
      <c r="AI224" s="9">
        <f t="shared" si="73"/>
        <v>0.39444444444444443</v>
      </c>
      <c r="AJ224" s="9">
        <v>0.53472222222222221</v>
      </c>
      <c r="AK224" s="9">
        <f t="shared" si="70"/>
        <v>0.14027777777777778</v>
      </c>
      <c r="AM224" t="b">
        <v>1</v>
      </c>
    </row>
    <row r="225" spans="1:39" x14ac:dyDescent="0.3">
      <c r="A225" s="3" t="s">
        <v>512</v>
      </c>
      <c r="B225" t="s">
        <v>513</v>
      </c>
      <c r="C225" t="s">
        <v>29</v>
      </c>
      <c r="D225">
        <v>55</v>
      </c>
      <c r="E225" s="1">
        <v>24003</v>
      </c>
      <c r="F225" s="2">
        <v>44307.426006944443</v>
      </c>
      <c r="G225" t="s">
        <v>30</v>
      </c>
      <c r="H225" s="5">
        <v>3344</v>
      </c>
      <c r="I225" s="6">
        <f t="shared" si="63"/>
        <v>33.777777777777779</v>
      </c>
      <c r="J225" s="6">
        <v>5.9939999999999998</v>
      </c>
      <c r="K225" s="5">
        <v>99</v>
      </c>
      <c r="L225" s="5">
        <v>1916</v>
      </c>
      <c r="M225" s="6">
        <f t="shared" si="64"/>
        <v>19.353535353535353</v>
      </c>
      <c r="N225" s="6">
        <v>4.2910000000000004</v>
      </c>
      <c r="O225" s="5">
        <v>99</v>
      </c>
      <c r="P225"/>
      <c r="Q225" s="5">
        <v>2379</v>
      </c>
      <c r="R225" s="6">
        <f t="shared" si="65"/>
        <v>24.030303030303031</v>
      </c>
      <c r="S225" s="6">
        <v>4.931</v>
      </c>
      <c r="T225" s="5">
        <v>99</v>
      </c>
      <c r="U225" s="5">
        <v>863</v>
      </c>
      <c r="V225" s="6">
        <f t="shared" si="66"/>
        <v>8.717171717171718</v>
      </c>
      <c r="W225" s="6">
        <v>2.673</v>
      </c>
      <c r="X225" s="5">
        <v>99</v>
      </c>
      <c r="Z225" s="6">
        <f t="shared" si="67"/>
        <v>1.7453027139874739</v>
      </c>
      <c r="AA225" s="6">
        <f t="shared" si="68"/>
        <v>2.7566628041714947</v>
      </c>
      <c r="AB225" s="13">
        <f t="shared" si="71"/>
        <v>0.57947545837098791</v>
      </c>
      <c r="AC225" t="s">
        <v>40</v>
      </c>
      <c r="AE225" s="14" t="s">
        <v>532</v>
      </c>
      <c r="AF225" s="9">
        <v>0.37361111111111112</v>
      </c>
      <c r="AG225" s="9">
        <v>0.44444444444444442</v>
      </c>
      <c r="AH225" s="9">
        <f t="shared" si="72"/>
        <v>7.0833333333333304E-2</v>
      </c>
      <c r="AI225" s="9">
        <f t="shared" si="73"/>
        <v>0.37361111111111112</v>
      </c>
      <c r="AJ225" s="9">
        <v>0.51736111111111105</v>
      </c>
      <c r="AK225" s="9">
        <f t="shared" si="70"/>
        <v>0.14374999999999993</v>
      </c>
      <c r="AM225" t="b">
        <v>1</v>
      </c>
    </row>
    <row r="226" spans="1:39" x14ac:dyDescent="0.3">
      <c r="A226" s="3" t="s">
        <v>514</v>
      </c>
      <c r="B226" t="s">
        <v>515</v>
      </c>
      <c r="C226" t="s">
        <v>29</v>
      </c>
      <c r="D226">
        <v>66</v>
      </c>
      <c r="E226" s="1">
        <v>19862</v>
      </c>
      <c r="F226" s="2">
        <v>44309.4455787037</v>
      </c>
      <c r="G226" t="s">
        <v>30</v>
      </c>
      <c r="H226" s="5">
        <v>1923</v>
      </c>
      <c r="I226" s="6">
        <f t="shared" si="63"/>
        <v>19.424242424242426</v>
      </c>
      <c r="J226" s="6">
        <v>4.5090000000000003</v>
      </c>
      <c r="K226" s="5">
        <v>99</v>
      </c>
      <c r="L226" s="5">
        <v>1303</v>
      </c>
      <c r="M226" s="6">
        <f t="shared" si="64"/>
        <v>13.161616161616161</v>
      </c>
      <c r="N226" s="6">
        <v>4.0679999999999996</v>
      </c>
      <c r="O226" s="5">
        <v>99</v>
      </c>
      <c r="P226"/>
      <c r="Q226" s="5">
        <v>1197</v>
      </c>
      <c r="R226" s="6">
        <f t="shared" si="65"/>
        <v>12.090909090909092</v>
      </c>
      <c r="S226" s="6">
        <v>3.907</v>
      </c>
      <c r="T226" s="5">
        <v>99</v>
      </c>
      <c r="U226" s="5">
        <v>558</v>
      </c>
      <c r="V226" s="6">
        <f t="shared" si="66"/>
        <v>5.6363636363636367</v>
      </c>
      <c r="W226" s="6">
        <v>2.4350000000000001</v>
      </c>
      <c r="X226" s="5">
        <v>99</v>
      </c>
      <c r="Z226" s="6">
        <f t="shared" si="67"/>
        <v>1.475825019186493</v>
      </c>
      <c r="AA226" s="6">
        <f t="shared" si="68"/>
        <v>2.1451612903225805</v>
      </c>
      <c r="AB226" s="13">
        <f t="shared" si="71"/>
        <v>0.45353362521597601</v>
      </c>
      <c r="AC226" t="s">
        <v>31</v>
      </c>
      <c r="AE226" s="14" t="s">
        <v>530</v>
      </c>
      <c r="AF226" s="9">
        <v>0.38958333333333334</v>
      </c>
      <c r="AG226" s="9">
        <v>0.44444444444444442</v>
      </c>
      <c r="AH226" s="9">
        <f t="shared" si="72"/>
        <v>5.4861111111111083E-2</v>
      </c>
      <c r="AI226" s="9">
        <f t="shared" si="73"/>
        <v>0.38958333333333334</v>
      </c>
      <c r="AJ226" s="9">
        <v>0.53472222222222221</v>
      </c>
      <c r="AK226" s="9">
        <f t="shared" si="70"/>
        <v>0.14513888888888887</v>
      </c>
      <c r="AM226" t="b">
        <v>1</v>
      </c>
    </row>
    <row r="227" spans="1:39" x14ac:dyDescent="0.3">
      <c r="A227" s="3" t="s">
        <v>516</v>
      </c>
      <c r="B227" t="s">
        <v>517</v>
      </c>
      <c r="C227" t="s">
        <v>29</v>
      </c>
      <c r="D227">
        <v>48</v>
      </c>
      <c r="E227" s="1">
        <v>26587</v>
      </c>
      <c r="F227" s="2">
        <v>44313.444074074076</v>
      </c>
      <c r="G227" t="s">
        <v>30</v>
      </c>
      <c r="H227" s="5">
        <v>1604</v>
      </c>
      <c r="I227" s="6">
        <f t="shared" si="63"/>
        <v>16.202020202020201</v>
      </c>
      <c r="J227" s="6">
        <v>4.569</v>
      </c>
      <c r="K227" s="5">
        <v>99</v>
      </c>
      <c r="L227" s="5">
        <v>474</v>
      </c>
      <c r="M227" s="6">
        <f t="shared" si="64"/>
        <v>4.7878787878787881</v>
      </c>
      <c r="N227" s="6">
        <v>2.2690000000000001</v>
      </c>
      <c r="O227" s="5">
        <v>99</v>
      </c>
      <c r="P227"/>
      <c r="Q227" s="5">
        <v>1120</v>
      </c>
      <c r="R227" s="6">
        <f t="shared" si="65"/>
        <v>11.2</v>
      </c>
      <c r="S227" s="6">
        <v>4.085</v>
      </c>
      <c r="T227" s="5">
        <v>100</v>
      </c>
      <c r="U227" s="5">
        <v>233</v>
      </c>
      <c r="V227" s="6">
        <f t="shared" si="66"/>
        <v>2.33</v>
      </c>
      <c r="W227" s="6">
        <v>1.633</v>
      </c>
      <c r="X227" s="5">
        <v>100</v>
      </c>
      <c r="Z227" s="6">
        <f t="shared" si="67"/>
        <v>3.3839662447257379</v>
      </c>
      <c r="AA227" s="6">
        <f t="shared" si="68"/>
        <v>4.806866952789699</v>
      </c>
      <c r="AB227" s="13">
        <f t="shared" si="71"/>
        <v>0.42048312694658208</v>
      </c>
      <c r="AC227" t="s">
        <v>31</v>
      </c>
      <c r="AE227" s="14" t="s">
        <v>532</v>
      </c>
      <c r="AF227" s="9">
        <v>0.37152777777777773</v>
      </c>
      <c r="AG227" s="9">
        <v>0.44444444444444442</v>
      </c>
      <c r="AH227" s="9">
        <f t="shared" si="72"/>
        <v>7.2916666666666685E-2</v>
      </c>
      <c r="AI227" s="9">
        <f t="shared" si="73"/>
        <v>0.37152777777777773</v>
      </c>
      <c r="AJ227" s="9">
        <v>0.52083333333333337</v>
      </c>
      <c r="AK227" s="9">
        <f t="shared" si="70"/>
        <v>0.14930555555555564</v>
      </c>
      <c r="AM227" t="b">
        <v>1</v>
      </c>
    </row>
    <row r="228" spans="1:39" x14ac:dyDescent="0.3">
      <c r="A228" s="3" t="s">
        <v>518</v>
      </c>
      <c r="B228" t="s">
        <v>519</v>
      </c>
      <c r="C228" t="s">
        <v>29</v>
      </c>
      <c r="D228">
        <v>59</v>
      </c>
      <c r="E228" s="1">
        <v>22716</v>
      </c>
      <c r="F228" s="2">
        <v>44313.409942129627</v>
      </c>
      <c r="G228" t="s">
        <v>30</v>
      </c>
      <c r="H228" s="5">
        <v>3104</v>
      </c>
      <c r="I228" s="6">
        <f t="shared" si="63"/>
        <v>31.353535353535353</v>
      </c>
      <c r="J228" s="6">
        <v>2.3180000000000001</v>
      </c>
      <c r="K228" s="5">
        <v>99</v>
      </c>
      <c r="L228" s="5">
        <v>1079</v>
      </c>
      <c r="M228" s="6">
        <f t="shared" si="64"/>
        <v>10.8989898989899</v>
      </c>
      <c r="N228" s="6">
        <v>1.266</v>
      </c>
      <c r="O228" s="5">
        <v>99</v>
      </c>
      <c r="P228"/>
      <c r="Q228" s="5">
        <v>2377</v>
      </c>
      <c r="R228" s="6">
        <f t="shared" si="65"/>
        <v>24.01010101010101</v>
      </c>
      <c r="S228" s="6">
        <v>2.41</v>
      </c>
      <c r="T228" s="5">
        <v>99</v>
      </c>
      <c r="U228" s="5">
        <v>468</v>
      </c>
      <c r="V228" s="6">
        <f t="shared" si="66"/>
        <v>4.7272727272727275</v>
      </c>
      <c r="W228" s="6">
        <v>0.66700000000000004</v>
      </c>
      <c r="X228" s="5">
        <v>99</v>
      </c>
      <c r="Z228" s="6">
        <f t="shared" si="67"/>
        <v>2.8767377201112136</v>
      </c>
      <c r="AA228" s="6">
        <f t="shared" si="68"/>
        <v>5.0790598290598288</v>
      </c>
      <c r="AB228" s="13">
        <f t="shared" si="71"/>
        <v>0.7655623568155786</v>
      </c>
      <c r="AC228" t="s">
        <v>39</v>
      </c>
      <c r="AE228" s="14" t="s">
        <v>532</v>
      </c>
      <c r="AF228" s="9">
        <v>0.375</v>
      </c>
      <c r="AG228" s="9">
        <v>0.43055555555555558</v>
      </c>
      <c r="AH228" s="9">
        <f t="shared" si="72"/>
        <v>5.555555555555558E-2</v>
      </c>
      <c r="AI228" s="9">
        <f t="shared" si="73"/>
        <v>0.375</v>
      </c>
      <c r="AJ228" s="9">
        <v>0.51388888888888895</v>
      </c>
      <c r="AK228" s="9">
        <f t="shared" si="70"/>
        <v>0.13888888888888895</v>
      </c>
      <c r="AM228" t="b">
        <v>1</v>
      </c>
    </row>
    <row r="229" spans="1:39" x14ac:dyDescent="0.3">
      <c r="A229" s="3" t="s">
        <v>520</v>
      </c>
      <c r="B229" t="s">
        <v>521</v>
      </c>
      <c r="C229" t="s">
        <v>52</v>
      </c>
      <c r="D229">
        <v>45</v>
      </c>
      <c r="E229" s="1">
        <v>27822</v>
      </c>
      <c r="F229" s="2">
        <v>44313.4296875</v>
      </c>
      <c r="G229" t="s">
        <v>30</v>
      </c>
      <c r="H229" s="5">
        <v>1227</v>
      </c>
      <c r="I229" s="6">
        <f t="shared" si="63"/>
        <v>12.27</v>
      </c>
      <c r="J229" s="6">
        <v>1.27</v>
      </c>
      <c r="K229" s="5">
        <v>100</v>
      </c>
      <c r="L229" s="5">
        <v>839</v>
      </c>
      <c r="M229" s="6">
        <f t="shared" si="64"/>
        <v>8.39</v>
      </c>
      <c r="N229" s="6">
        <v>0.73699999999999999</v>
      </c>
      <c r="O229" s="5">
        <v>100</v>
      </c>
      <c r="P229"/>
      <c r="Q229" s="5">
        <v>802</v>
      </c>
      <c r="R229" s="6">
        <f t="shared" si="65"/>
        <v>8.1010101010101003</v>
      </c>
      <c r="S229" s="6">
        <v>1.329</v>
      </c>
      <c r="T229" s="5">
        <v>99</v>
      </c>
      <c r="U229" s="5">
        <v>278</v>
      </c>
      <c r="V229" s="6">
        <f t="shared" si="66"/>
        <v>2.808080808080808</v>
      </c>
      <c r="W229" s="6">
        <v>0.66500000000000004</v>
      </c>
      <c r="X229" s="5">
        <v>99</v>
      </c>
      <c r="Z229" s="6">
        <f t="shared" si="67"/>
        <v>1.4624553039332537</v>
      </c>
      <c r="AA229" s="6">
        <f t="shared" si="68"/>
        <v>2.8848920863309351</v>
      </c>
      <c r="AB229" s="13">
        <f t="shared" si="71"/>
        <v>0.97263607207143832</v>
      </c>
      <c r="AC229" t="s">
        <v>39</v>
      </c>
      <c r="AE229" s="14" t="s">
        <v>531</v>
      </c>
      <c r="AF229" s="9">
        <v>0.39305555555555555</v>
      </c>
      <c r="AG229" s="9">
        <v>0.44444444444444442</v>
      </c>
      <c r="AH229" s="9">
        <f t="shared" si="72"/>
        <v>5.1388888888888873E-2</v>
      </c>
      <c r="AI229" s="9">
        <f t="shared" si="73"/>
        <v>0.39305555555555555</v>
      </c>
      <c r="AJ229" s="9">
        <v>0.52777777777777779</v>
      </c>
      <c r="AK229" s="9">
        <f t="shared" si="70"/>
        <v>0.13472222222222224</v>
      </c>
      <c r="AM229" t="b">
        <v>1</v>
      </c>
    </row>
    <row r="230" spans="1:39" x14ac:dyDescent="0.3">
      <c r="A230" s="3" t="s">
        <v>522</v>
      </c>
      <c r="B230" t="s">
        <v>523</v>
      </c>
      <c r="C230" t="s">
        <v>29</v>
      </c>
      <c r="D230">
        <v>63</v>
      </c>
      <c r="E230" s="1">
        <v>20969</v>
      </c>
      <c r="F230" s="2">
        <v>44314.42827546296</v>
      </c>
      <c r="G230" t="s">
        <v>30</v>
      </c>
      <c r="H230" s="5">
        <v>4113</v>
      </c>
      <c r="I230" s="6">
        <f t="shared" ref="I230:I293" si="74">H230/K230</f>
        <v>41.545454545454547</v>
      </c>
      <c r="J230" s="6">
        <v>5.8259999999999996</v>
      </c>
      <c r="K230" s="5">
        <v>99</v>
      </c>
      <c r="L230" s="5">
        <v>960</v>
      </c>
      <c r="M230" s="6">
        <f t="shared" ref="M230:M293" si="75">L230/O230</f>
        <v>9.6969696969696972</v>
      </c>
      <c r="N230" s="6">
        <v>2.794</v>
      </c>
      <c r="O230" s="5">
        <v>99</v>
      </c>
      <c r="P230"/>
      <c r="Q230" s="5">
        <v>3348</v>
      </c>
      <c r="R230" s="6">
        <f t="shared" ref="R230:R293" si="76">Q230/T230</f>
        <v>33.81818181818182</v>
      </c>
      <c r="S230" s="6">
        <v>5.6630000000000003</v>
      </c>
      <c r="T230" s="5">
        <v>99</v>
      </c>
      <c r="U230" s="5">
        <v>508</v>
      </c>
      <c r="V230" s="6">
        <f t="shared" ref="V230:V293" si="77">U230/X230</f>
        <v>5.1313131313131315</v>
      </c>
      <c r="W230" s="6">
        <v>2.5819999999999999</v>
      </c>
      <c r="X230" s="5">
        <v>99</v>
      </c>
      <c r="Z230" s="6">
        <f t="shared" ref="Z230:Z293" si="78">I230/M230</f>
        <v>4.2843749999999998</v>
      </c>
      <c r="AA230" s="6">
        <f t="shared" ref="AA230:AA293" si="79">R230/V230</f>
        <v>6.590551181102362</v>
      </c>
      <c r="AB230" s="13">
        <f t="shared" si="71"/>
        <v>0.53827598683643763</v>
      </c>
      <c r="AC230" t="s">
        <v>40</v>
      </c>
      <c r="AE230" s="14" t="s">
        <v>530</v>
      </c>
      <c r="AF230" s="9">
        <v>0.37777777777777777</v>
      </c>
      <c r="AG230" s="9">
        <v>0.44444444444444442</v>
      </c>
      <c r="AH230" s="9">
        <f t="shared" si="72"/>
        <v>6.6666666666666652E-2</v>
      </c>
      <c r="AI230" s="9">
        <f t="shared" si="73"/>
        <v>0.37777777777777777</v>
      </c>
      <c r="AJ230" s="9">
        <v>0.51597222222222217</v>
      </c>
      <c r="AK230" s="9">
        <f t="shared" si="70"/>
        <v>0.1381944444444444</v>
      </c>
      <c r="AM230" t="b">
        <v>1</v>
      </c>
    </row>
    <row r="231" spans="1:39" x14ac:dyDescent="0.3">
      <c r="A231" s="3" t="s">
        <v>524</v>
      </c>
      <c r="B231" t="s">
        <v>525</v>
      </c>
      <c r="C231" t="s">
        <v>29</v>
      </c>
      <c r="D231">
        <v>52</v>
      </c>
      <c r="E231" s="1">
        <v>25148</v>
      </c>
      <c r="F231" s="2">
        <v>44315.408530092594</v>
      </c>
      <c r="G231" t="s">
        <v>30</v>
      </c>
      <c r="H231" s="5">
        <v>1980</v>
      </c>
      <c r="I231" s="6">
        <f t="shared" si="74"/>
        <v>20</v>
      </c>
      <c r="J231" s="6">
        <v>3.972</v>
      </c>
      <c r="K231" s="5">
        <v>99</v>
      </c>
      <c r="L231" s="5">
        <v>1240</v>
      </c>
      <c r="M231" s="6">
        <f t="shared" si="75"/>
        <v>12.525252525252526</v>
      </c>
      <c r="N231" s="6">
        <v>3.6179999999999999</v>
      </c>
      <c r="O231" s="5">
        <v>99</v>
      </c>
      <c r="P231"/>
      <c r="Q231" s="5">
        <v>1315</v>
      </c>
      <c r="R231" s="6">
        <f t="shared" si="76"/>
        <v>13.282828282828282</v>
      </c>
      <c r="S231" s="6">
        <v>3.4609999999999999</v>
      </c>
      <c r="T231" s="5">
        <v>99</v>
      </c>
      <c r="U231" s="5">
        <v>321</v>
      </c>
      <c r="V231" s="6">
        <f t="shared" si="77"/>
        <v>3.2424242424242422</v>
      </c>
      <c r="W231" s="6">
        <v>1.917</v>
      </c>
      <c r="X231" s="5">
        <v>99</v>
      </c>
      <c r="Z231" s="6">
        <f t="shared" si="78"/>
        <v>1.596774193548387</v>
      </c>
      <c r="AA231" s="6">
        <f t="shared" si="79"/>
        <v>4.0965732087227416</v>
      </c>
      <c r="AB231" s="13">
        <f t="shared" si="71"/>
        <v>1.5655306963718181</v>
      </c>
      <c r="AC231" t="s">
        <v>40</v>
      </c>
      <c r="AE231" s="14" t="s">
        <v>532</v>
      </c>
      <c r="AF231" s="9">
        <v>0.40347222222222223</v>
      </c>
      <c r="AG231" s="9">
        <v>0.44444444444444442</v>
      </c>
      <c r="AH231" s="9">
        <f t="shared" si="72"/>
        <v>4.0972222222222188E-2</v>
      </c>
      <c r="AI231" s="9">
        <f t="shared" si="73"/>
        <v>0.40347222222222223</v>
      </c>
      <c r="AJ231" s="9">
        <v>0.53819444444444442</v>
      </c>
      <c r="AK231" s="9">
        <f t="shared" si="70"/>
        <v>0.13472222222222219</v>
      </c>
      <c r="AM231" t="b">
        <v>1</v>
      </c>
    </row>
    <row r="232" spans="1:39" x14ac:dyDescent="0.3">
      <c r="A232" s="3" t="s">
        <v>526</v>
      </c>
      <c r="B232" t="s">
        <v>527</v>
      </c>
      <c r="C232" t="s">
        <v>29</v>
      </c>
      <c r="D232">
        <v>44</v>
      </c>
      <c r="E232" s="1">
        <v>28222</v>
      </c>
      <c r="F232" s="2">
        <v>44316.42019675926</v>
      </c>
      <c r="G232" t="s">
        <v>30</v>
      </c>
      <c r="H232" s="5">
        <v>2461</v>
      </c>
      <c r="I232" s="6">
        <f t="shared" si="74"/>
        <v>24.61</v>
      </c>
      <c r="J232" s="6">
        <v>1.333</v>
      </c>
      <c r="K232" s="5">
        <v>100</v>
      </c>
      <c r="L232" s="5">
        <v>1044</v>
      </c>
      <c r="M232" s="6">
        <f t="shared" si="75"/>
        <v>10.44</v>
      </c>
      <c r="N232" s="6">
        <v>1.1399999999999999</v>
      </c>
      <c r="O232" s="5">
        <v>100</v>
      </c>
      <c r="P232"/>
      <c r="Q232" s="5">
        <v>1628</v>
      </c>
      <c r="R232" s="6">
        <f t="shared" si="76"/>
        <v>16.28</v>
      </c>
      <c r="S232" s="6">
        <v>1.706</v>
      </c>
      <c r="T232" s="5">
        <v>100</v>
      </c>
      <c r="U232" s="5">
        <v>388</v>
      </c>
      <c r="V232" s="6">
        <f t="shared" si="77"/>
        <v>3.88</v>
      </c>
      <c r="W232" s="6">
        <v>0.498</v>
      </c>
      <c r="X232" s="5">
        <v>100</v>
      </c>
      <c r="Z232" s="6">
        <f t="shared" si="78"/>
        <v>2.3572796934865901</v>
      </c>
      <c r="AA232" s="6">
        <f t="shared" si="79"/>
        <v>4.195876288659794</v>
      </c>
      <c r="AB232" s="13">
        <f t="shared" si="71"/>
        <v>0.77996539835872614</v>
      </c>
      <c r="AC232" t="s">
        <v>39</v>
      </c>
      <c r="AE232" s="14" t="s">
        <v>532</v>
      </c>
      <c r="AF232" s="9">
        <v>0.38819444444444445</v>
      </c>
      <c r="AG232" s="9">
        <v>0.44444444444444442</v>
      </c>
      <c r="AH232" s="9">
        <f t="shared" si="72"/>
        <v>5.6249999999999967E-2</v>
      </c>
      <c r="AI232" s="9">
        <f t="shared" si="73"/>
        <v>0.38819444444444445</v>
      </c>
      <c r="AJ232" s="9">
        <v>0.52083333333333337</v>
      </c>
      <c r="AK232" s="9">
        <f t="shared" si="70"/>
        <v>0.13263888888888892</v>
      </c>
      <c r="AM232" t="b">
        <v>1</v>
      </c>
    </row>
    <row r="233" spans="1:39" x14ac:dyDescent="0.3">
      <c r="A233" s="3" t="s">
        <v>528</v>
      </c>
      <c r="B233" t="s">
        <v>529</v>
      </c>
      <c r="C233" t="s">
        <v>29</v>
      </c>
      <c r="D233">
        <v>63</v>
      </c>
      <c r="E233" s="1">
        <v>21107</v>
      </c>
      <c r="F233" s="2">
        <v>44316.438946759263</v>
      </c>
      <c r="G233" t="s">
        <v>30</v>
      </c>
      <c r="H233" s="5">
        <v>3415</v>
      </c>
      <c r="I233" s="6">
        <f t="shared" si="74"/>
        <v>34.15</v>
      </c>
      <c r="J233" s="6">
        <v>5.9109999999999996</v>
      </c>
      <c r="K233" s="5">
        <v>100</v>
      </c>
      <c r="L233" s="5">
        <v>1021</v>
      </c>
      <c r="M233" s="6">
        <f t="shared" si="75"/>
        <v>10.210000000000001</v>
      </c>
      <c r="N233" s="6">
        <v>3.069</v>
      </c>
      <c r="O233" s="5">
        <v>100</v>
      </c>
      <c r="P233"/>
      <c r="Q233" s="5">
        <v>2602</v>
      </c>
      <c r="R233" s="6">
        <f t="shared" si="76"/>
        <v>26.02</v>
      </c>
      <c r="S233" s="6">
        <v>5.4729999999999999</v>
      </c>
      <c r="T233" s="5">
        <v>100</v>
      </c>
      <c r="U233" s="5">
        <v>427</v>
      </c>
      <c r="V233" s="6">
        <f t="shared" si="77"/>
        <v>4.2699999999999996</v>
      </c>
      <c r="W233" s="6">
        <v>1.901</v>
      </c>
      <c r="X233" s="5">
        <v>100</v>
      </c>
      <c r="Z233" s="6">
        <f t="shared" si="78"/>
        <v>3.3447600391772769</v>
      </c>
      <c r="AA233" s="6">
        <f t="shared" si="79"/>
        <v>6.0936768149882905</v>
      </c>
      <c r="AB233" s="13">
        <f t="shared" si="71"/>
        <v>0.82185769490572325</v>
      </c>
      <c r="AC233" t="s">
        <v>40</v>
      </c>
      <c r="AE233" s="14" t="s">
        <v>532</v>
      </c>
      <c r="AF233" s="9">
        <v>0.37638888888888888</v>
      </c>
      <c r="AG233" s="9">
        <v>0.44444444444444442</v>
      </c>
      <c r="AH233" s="9">
        <f t="shared" si="72"/>
        <v>6.8055555555555536E-2</v>
      </c>
      <c r="AI233" s="9">
        <f t="shared" si="73"/>
        <v>0.37638888888888888</v>
      </c>
      <c r="AJ233" s="9">
        <v>0.51874999999999993</v>
      </c>
      <c r="AK233" s="9">
        <f t="shared" si="70"/>
        <v>0.14236111111111105</v>
      </c>
      <c r="AM233" t="b">
        <v>1</v>
      </c>
    </row>
    <row r="234" spans="1:39" x14ac:dyDescent="0.3">
      <c r="A234" s="3" t="s">
        <v>533</v>
      </c>
      <c r="B234" t="s">
        <v>534</v>
      </c>
      <c r="C234" t="s">
        <v>29</v>
      </c>
      <c r="D234">
        <v>40</v>
      </c>
      <c r="E234" s="1">
        <v>29588</v>
      </c>
      <c r="F234" s="2">
        <v>44319.420636574076</v>
      </c>
      <c r="G234" t="s">
        <v>30</v>
      </c>
      <c r="H234" s="5">
        <v>2169</v>
      </c>
      <c r="I234" s="6">
        <f t="shared" si="74"/>
        <v>21.90909090909091</v>
      </c>
      <c r="J234" s="6">
        <v>1.161</v>
      </c>
      <c r="K234" s="5">
        <v>99</v>
      </c>
      <c r="L234" s="5">
        <v>1290</v>
      </c>
      <c r="M234" s="6">
        <f t="shared" si="75"/>
        <v>13.030303030303031</v>
      </c>
      <c r="N234" s="6">
        <v>1.3049999999999999</v>
      </c>
      <c r="O234" s="5">
        <v>99</v>
      </c>
      <c r="P234"/>
      <c r="Q234" s="5">
        <v>1436</v>
      </c>
      <c r="R234" s="6">
        <f t="shared" si="76"/>
        <v>14.505050505050505</v>
      </c>
      <c r="S234" s="6">
        <v>1.4450000000000001</v>
      </c>
      <c r="T234" s="5">
        <v>99</v>
      </c>
      <c r="U234" s="5">
        <v>464</v>
      </c>
      <c r="V234" s="6">
        <f t="shared" si="77"/>
        <v>4.6868686868686869</v>
      </c>
      <c r="W234" s="6">
        <v>0.61699999999999999</v>
      </c>
      <c r="X234" s="5">
        <v>99</v>
      </c>
      <c r="Z234" s="6">
        <f t="shared" si="78"/>
        <v>1.6813953488372093</v>
      </c>
      <c r="AA234" s="6">
        <f t="shared" si="79"/>
        <v>3.0948275862068968</v>
      </c>
      <c r="AB234" s="13">
        <f t="shared" ref="AB234:AB258" si="80">(AA234-Z234)/Z234</f>
        <v>0.8406305146182097</v>
      </c>
      <c r="AC234" t="s">
        <v>39</v>
      </c>
      <c r="AE234" s="14" t="s">
        <v>582</v>
      </c>
      <c r="AF234" s="9">
        <v>0.39583333333333331</v>
      </c>
      <c r="AG234" s="9">
        <v>0.4375</v>
      </c>
      <c r="AH234" s="9">
        <f t="shared" si="72"/>
        <v>4.1666666666666685E-2</v>
      </c>
      <c r="AI234" s="9">
        <f t="shared" si="73"/>
        <v>0.39583333333333331</v>
      </c>
      <c r="AJ234" s="9">
        <v>0.52083333333333337</v>
      </c>
      <c r="AK234" s="9">
        <f t="shared" si="70"/>
        <v>0.12500000000000006</v>
      </c>
      <c r="AM234" t="b">
        <v>1</v>
      </c>
    </row>
    <row r="235" spans="1:39" x14ac:dyDescent="0.3">
      <c r="A235" s="3" t="s">
        <v>535</v>
      </c>
      <c r="B235" t="s">
        <v>536</v>
      </c>
      <c r="C235" t="s">
        <v>29</v>
      </c>
      <c r="D235">
        <v>55</v>
      </c>
      <c r="E235" s="1">
        <v>24031</v>
      </c>
      <c r="F235" s="2">
        <v>44319.438310185185</v>
      </c>
      <c r="G235" t="s">
        <v>30</v>
      </c>
      <c r="H235" s="5">
        <v>2844</v>
      </c>
      <c r="I235" s="6">
        <f t="shared" si="74"/>
        <v>28.727272727272727</v>
      </c>
      <c r="J235" s="6">
        <v>6.5629999999999997</v>
      </c>
      <c r="K235" s="5">
        <v>99</v>
      </c>
      <c r="L235" s="5">
        <v>1213</v>
      </c>
      <c r="M235" s="6">
        <f t="shared" si="75"/>
        <v>12.252525252525253</v>
      </c>
      <c r="N235" s="6">
        <v>3.3849999999999998</v>
      </c>
      <c r="O235" s="5">
        <v>99</v>
      </c>
      <c r="P235"/>
      <c r="Q235" s="5">
        <v>2068</v>
      </c>
      <c r="R235" s="6">
        <f t="shared" si="76"/>
        <v>20.888888888888889</v>
      </c>
      <c r="S235" s="6">
        <v>5.0419999999999998</v>
      </c>
      <c r="T235" s="5">
        <v>99</v>
      </c>
      <c r="U235" s="5">
        <v>486</v>
      </c>
      <c r="V235" s="6">
        <f t="shared" si="77"/>
        <v>4.9090909090909092</v>
      </c>
      <c r="W235" s="6">
        <v>2.4289999999999998</v>
      </c>
      <c r="X235" s="5">
        <v>99</v>
      </c>
      <c r="Z235" s="6">
        <f t="shared" si="78"/>
        <v>2.3446001648804615</v>
      </c>
      <c r="AA235" s="6">
        <f t="shared" si="79"/>
        <v>4.2551440329218106</v>
      </c>
      <c r="AB235" s="13">
        <f t="shared" si="80"/>
        <v>0.81486980025814226</v>
      </c>
      <c r="AC235" t="s">
        <v>31</v>
      </c>
      <c r="AE235" s="14" t="s">
        <v>583</v>
      </c>
      <c r="AF235" s="9">
        <v>0.3888888888888889</v>
      </c>
      <c r="AG235" s="9">
        <v>0.4375</v>
      </c>
      <c r="AH235" s="9">
        <f t="shared" si="72"/>
        <v>4.8611111111111105E-2</v>
      </c>
      <c r="AI235" s="9">
        <f t="shared" si="73"/>
        <v>0.3888888888888889</v>
      </c>
      <c r="AJ235" s="9">
        <v>0.52083333333333337</v>
      </c>
      <c r="AK235" s="9">
        <f t="shared" si="70"/>
        <v>0.13194444444444448</v>
      </c>
      <c r="AM235" t="b">
        <v>1</v>
      </c>
    </row>
    <row r="236" spans="1:39" x14ac:dyDescent="0.3">
      <c r="A236" s="3" t="s">
        <v>537</v>
      </c>
      <c r="B236" t="s">
        <v>538</v>
      </c>
      <c r="C236" t="s">
        <v>52</v>
      </c>
      <c r="D236">
        <v>69</v>
      </c>
      <c r="E236" s="1">
        <v>18935</v>
      </c>
      <c r="F236" s="2">
        <v>44319.396307870367</v>
      </c>
      <c r="G236" t="s">
        <v>30</v>
      </c>
      <c r="H236" s="5">
        <v>2608</v>
      </c>
      <c r="I236" s="6">
        <f t="shared" si="74"/>
        <v>26.08</v>
      </c>
      <c r="J236" s="6">
        <v>5.48</v>
      </c>
      <c r="K236" s="5">
        <v>100</v>
      </c>
      <c r="L236" s="5">
        <v>1433</v>
      </c>
      <c r="M236" s="6">
        <f t="shared" si="75"/>
        <v>14.33</v>
      </c>
      <c r="N236" s="6">
        <v>3.8820000000000001</v>
      </c>
      <c r="O236" s="5">
        <v>100</v>
      </c>
      <c r="P236"/>
      <c r="Q236" s="5">
        <v>1725</v>
      </c>
      <c r="R236" s="6">
        <f t="shared" si="76"/>
        <v>17.424242424242426</v>
      </c>
      <c r="S236" s="6">
        <v>4.0640000000000001</v>
      </c>
      <c r="T236" s="5">
        <v>99</v>
      </c>
      <c r="U236" s="5">
        <v>575</v>
      </c>
      <c r="V236" s="6">
        <f t="shared" si="77"/>
        <v>5.808080808080808</v>
      </c>
      <c r="W236" s="6">
        <v>2.694</v>
      </c>
      <c r="X236" s="5">
        <v>99</v>
      </c>
      <c r="Z236" s="6">
        <f t="shared" si="78"/>
        <v>1.8199581297976273</v>
      </c>
      <c r="AA236" s="6">
        <f t="shared" si="79"/>
        <v>3.0000000000000004</v>
      </c>
      <c r="AB236" s="13">
        <f t="shared" si="80"/>
        <v>0.64838957055214752</v>
      </c>
      <c r="AC236" t="s">
        <v>40</v>
      </c>
      <c r="AE236" s="14" t="s">
        <v>583</v>
      </c>
      <c r="AF236" s="9">
        <v>0.37777777777777777</v>
      </c>
      <c r="AG236" s="9">
        <v>0.4375</v>
      </c>
      <c r="AH236" s="9">
        <f t="shared" si="72"/>
        <v>5.9722222222222232E-2</v>
      </c>
      <c r="AI236" s="9">
        <f t="shared" si="73"/>
        <v>0.37777777777777777</v>
      </c>
      <c r="AJ236" s="9">
        <v>0.51736111111111105</v>
      </c>
      <c r="AK236" s="9">
        <f t="shared" si="70"/>
        <v>0.13958333333333328</v>
      </c>
      <c r="AM236" t="b">
        <v>1</v>
      </c>
    </row>
    <row r="237" spans="1:39" x14ac:dyDescent="0.3">
      <c r="A237" s="3" t="s">
        <v>539</v>
      </c>
      <c r="B237" t="s">
        <v>540</v>
      </c>
      <c r="C237" t="s">
        <v>29</v>
      </c>
      <c r="D237">
        <v>67</v>
      </c>
      <c r="E237" s="1">
        <v>19792</v>
      </c>
      <c r="F237" s="2">
        <v>44322.425983796296</v>
      </c>
      <c r="G237" t="s">
        <v>30</v>
      </c>
      <c r="H237" s="5">
        <v>4173</v>
      </c>
      <c r="I237" s="6">
        <f t="shared" si="74"/>
        <v>42.151515151515149</v>
      </c>
      <c r="J237" s="6">
        <v>7.4130000000000003</v>
      </c>
      <c r="K237" s="5">
        <v>99</v>
      </c>
      <c r="L237" s="5">
        <v>1595</v>
      </c>
      <c r="M237" s="6">
        <f t="shared" si="75"/>
        <v>16.111111111111111</v>
      </c>
      <c r="N237" s="6">
        <v>4.335</v>
      </c>
      <c r="O237" s="5">
        <v>99</v>
      </c>
      <c r="P237"/>
      <c r="Q237" s="5">
        <v>2997</v>
      </c>
      <c r="R237" s="6">
        <f t="shared" si="76"/>
        <v>30.272727272727273</v>
      </c>
      <c r="S237" s="6">
        <v>6.1440000000000001</v>
      </c>
      <c r="T237" s="5">
        <v>99</v>
      </c>
      <c r="U237" s="5">
        <v>588</v>
      </c>
      <c r="V237" s="6">
        <f t="shared" si="77"/>
        <v>5.9393939393939394</v>
      </c>
      <c r="W237" s="7">
        <v>2.6640000000000001</v>
      </c>
      <c r="X237" s="5">
        <v>99</v>
      </c>
      <c r="Z237" s="6">
        <f t="shared" si="78"/>
        <v>2.6163009404388715</v>
      </c>
      <c r="AA237" s="6">
        <f t="shared" si="79"/>
        <v>5.0969387755102042</v>
      </c>
      <c r="AB237" s="13">
        <f t="shared" si="80"/>
        <v>0.94814697985592511</v>
      </c>
      <c r="AC237" t="s">
        <v>40</v>
      </c>
      <c r="AE237" s="14" t="s">
        <v>583</v>
      </c>
      <c r="AF237" s="9">
        <v>0.37847222222222227</v>
      </c>
      <c r="AG237" s="9">
        <v>0.44444444444444442</v>
      </c>
      <c r="AH237" s="9">
        <f t="shared" si="72"/>
        <v>6.5972222222222154E-2</v>
      </c>
      <c r="AI237" s="9">
        <f t="shared" si="73"/>
        <v>0.37847222222222227</v>
      </c>
      <c r="AJ237" s="9">
        <v>0.52083333333333337</v>
      </c>
      <c r="AK237" s="9">
        <f t="shared" si="70"/>
        <v>0.1423611111111111</v>
      </c>
      <c r="AM237" t="b">
        <v>1</v>
      </c>
    </row>
    <row r="238" spans="1:39" x14ac:dyDescent="0.3">
      <c r="A238" s="3" t="s">
        <v>541</v>
      </c>
      <c r="B238" t="s">
        <v>542</v>
      </c>
      <c r="C238" t="s">
        <v>52</v>
      </c>
      <c r="D238">
        <v>64</v>
      </c>
      <c r="E238" s="1">
        <v>20673</v>
      </c>
      <c r="F238" s="2">
        <v>44320.439270833333</v>
      </c>
      <c r="G238" t="s">
        <v>30</v>
      </c>
      <c r="H238" s="5">
        <v>2640</v>
      </c>
      <c r="I238" s="6">
        <f t="shared" si="74"/>
        <v>26.666666666666668</v>
      </c>
      <c r="J238" s="6">
        <v>4.6550000000000002</v>
      </c>
      <c r="K238" s="5">
        <v>99</v>
      </c>
      <c r="L238" s="5">
        <v>1516</v>
      </c>
      <c r="M238" s="6">
        <f t="shared" si="75"/>
        <v>15.313131313131313</v>
      </c>
      <c r="N238" s="6">
        <v>3.8690000000000002</v>
      </c>
      <c r="O238" s="5">
        <v>99</v>
      </c>
      <c r="P238"/>
      <c r="Q238" s="5">
        <v>1856</v>
      </c>
      <c r="R238" s="6">
        <f t="shared" si="76"/>
        <v>18.747474747474747</v>
      </c>
      <c r="S238" s="6">
        <v>4.6120000000000001</v>
      </c>
      <c r="T238" s="5">
        <v>99</v>
      </c>
      <c r="U238" s="5">
        <v>645</v>
      </c>
      <c r="V238" s="6">
        <f t="shared" si="77"/>
        <v>6.5151515151515156</v>
      </c>
      <c r="W238" s="7">
        <v>2.48</v>
      </c>
      <c r="X238" s="5">
        <v>99</v>
      </c>
      <c r="Z238" s="6">
        <f t="shared" si="78"/>
        <v>1.7414248021108181</v>
      </c>
      <c r="AA238" s="6">
        <f t="shared" si="79"/>
        <v>2.8775193798449612</v>
      </c>
      <c r="AB238" s="13">
        <f t="shared" si="80"/>
        <v>0.65239370448672762</v>
      </c>
      <c r="AC238" t="s">
        <v>31</v>
      </c>
      <c r="AE238" s="14" t="s">
        <v>584</v>
      </c>
      <c r="AF238" s="9">
        <v>0.38125000000000003</v>
      </c>
      <c r="AG238" s="9">
        <v>0.43055555555555558</v>
      </c>
      <c r="AH238" s="9">
        <f t="shared" si="72"/>
        <v>4.9305555555555547E-2</v>
      </c>
      <c r="AI238" s="9">
        <f t="shared" si="73"/>
        <v>0.38125000000000003</v>
      </c>
      <c r="AJ238" s="9">
        <v>0.52083333333333337</v>
      </c>
      <c r="AK238" s="9">
        <f t="shared" si="70"/>
        <v>0.13958333333333334</v>
      </c>
      <c r="AM238" t="b">
        <v>1</v>
      </c>
    </row>
    <row r="239" spans="1:39" x14ac:dyDescent="0.3">
      <c r="A239" s="3" t="s">
        <v>543</v>
      </c>
      <c r="B239" t="s">
        <v>544</v>
      </c>
      <c r="C239" t="s">
        <v>29</v>
      </c>
      <c r="D239">
        <v>51</v>
      </c>
      <c r="E239" s="1">
        <v>25668</v>
      </c>
      <c r="F239" s="2">
        <v>44322.387627314813</v>
      </c>
      <c r="G239" t="s">
        <v>30</v>
      </c>
      <c r="H239" s="5">
        <v>2735</v>
      </c>
      <c r="I239" s="6">
        <f t="shared" si="74"/>
        <v>27.35</v>
      </c>
      <c r="J239" s="6">
        <v>1.833</v>
      </c>
      <c r="K239" s="5">
        <v>100</v>
      </c>
      <c r="L239" s="5">
        <v>1691</v>
      </c>
      <c r="M239" s="6">
        <f t="shared" si="75"/>
        <v>16.91</v>
      </c>
      <c r="N239" s="6">
        <v>1.5249999999999999</v>
      </c>
      <c r="O239" s="5">
        <v>100</v>
      </c>
      <c r="P239"/>
      <c r="Q239" s="5">
        <v>1864</v>
      </c>
      <c r="R239" s="6">
        <f t="shared" si="76"/>
        <v>18.828282828282827</v>
      </c>
      <c r="S239" s="6">
        <v>1.546</v>
      </c>
      <c r="T239" s="5">
        <v>99</v>
      </c>
      <c r="U239" s="5">
        <v>654</v>
      </c>
      <c r="V239" s="6">
        <f t="shared" si="77"/>
        <v>6.6060606060606064</v>
      </c>
      <c r="W239" s="7">
        <v>0.96699999999999997</v>
      </c>
      <c r="X239" s="5">
        <v>99</v>
      </c>
      <c r="Z239" s="6">
        <f t="shared" si="78"/>
        <v>1.6173861620342993</v>
      </c>
      <c r="AA239" s="6">
        <f t="shared" si="79"/>
        <v>2.8501529051987764</v>
      </c>
      <c r="AB239" s="13">
        <f t="shared" si="80"/>
        <v>0.7621969150607425</v>
      </c>
      <c r="AC239" t="s">
        <v>39</v>
      </c>
      <c r="AE239" s="14" t="s">
        <v>583</v>
      </c>
      <c r="AF239" s="9">
        <v>0.38611111111111113</v>
      </c>
      <c r="AG239" s="9">
        <v>0.44444444444444442</v>
      </c>
      <c r="AH239" s="9">
        <f t="shared" si="72"/>
        <v>5.8333333333333293E-2</v>
      </c>
      <c r="AI239" s="9">
        <f t="shared" si="73"/>
        <v>0.38611111111111113</v>
      </c>
      <c r="AJ239" s="9">
        <v>0.52986111111111112</v>
      </c>
      <c r="AK239" s="9">
        <f t="shared" si="70"/>
        <v>0.14374999999999999</v>
      </c>
      <c r="AM239" t="b">
        <v>1</v>
      </c>
    </row>
    <row r="240" spans="1:39" x14ac:dyDescent="0.3">
      <c r="A240" s="3" t="s">
        <v>545</v>
      </c>
      <c r="B240" t="s">
        <v>546</v>
      </c>
      <c r="C240" t="s">
        <v>29</v>
      </c>
      <c r="D240">
        <v>53</v>
      </c>
      <c r="E240" s="1">
        <v>24918</v>
      </c>
      <c r="F240" s="2">
        <v>44322.444988425923</v>
      </c>
      <c r="G240" t="s">
        <v>278</v>
      </c>
      <c r="H240" s="5">
        <v>1725</v>
      </c>
      <c r="I240" s="6">
        <f t="shared" si="74"/>
        <v>17.424242424242426</v>
      </c>
      <c r="J240" s="6">
        <v>4.4009999999999998</v>
      </c>
      <c r="K240" s="5">
        <v>99</v>
      </c>
      <c r="L240" s="5">
        <v>853</v>
      </c>
      <c r="M240" s="6">
        <f t="shared" si="75"/>
        <v>8.6161616161616159</v>
      </c>
      <c r="N240" s="6">
        <v>3.0019999999999998</v>
      </c>
      <c r="O240" s="5">
        <v>99</v>
      </c>
      <c r="P240"/>
      <c r="Q240" s="5">
        <v>1204</v>
      </c>
      <c r="R240" s="6">
        <f t="shared" si="76"/>
        <v>12.161616161616161</v>
      </c>
      <c r="S240" s="6">
        <v>3.7709999999999999</v>
      </c>
      <c r="T240" s="5">
        <v>99</v>
      </c>
      <c r="U240" s="5">
        <v>394</v>
      </c>
      <c r="V240" s="6">
        <f t="shared" si="77"/>
        <v>3.9797979797979797</v>
      </c>
      <c r="W240" s="6">
        <v>1.873</v>
      </c>
      <c r="X240" s="5">
        <v>99</v>
      </c>
      <c r="Z240" s="6">
        <f t="shared" si="78"/>
        <v>2.0222743259085583</v>
      </c>
      <c r="AA240" s="6">
        <f t="shared" si="79"/>
        <v>3.0558375634517767</v>
      </c>
      <c r="AB240" s="13">
        <f t="shared" si="80"/>
        <v>0.51108953137644364</v>
      </c>
      <c r="AC240" t="s">
        <v>31</v>
      </c>
      <c r="AE240" s="14" t="s">
        <v>582</v>
      </c>
      <c r="AF240" s="9">
        <v>0.37291666666666662</v>
      </c>
      <c r="AG240" s="9">
        <v>0.44444444444444442</v>
      </c>
      <c r="AH240" s="9">
        <f t="shared" si="72"/>
        <v>7.1527777777777801E-2</v>
      </c>
      <c r="AI240" s="9">
        <f t="shared" si="73"/>
        <v>0.37291666666666662</v>
      </c>
      <c r="AJ240" s="9">
        <v>0.52083333333333337</v>
      </c>
      <c r="AK240" s="9">
        <f t="shared" si="70"/>
        <v>0.14791666666666675</v>
      </c>
      <c r="AM240" t="b">
        <v>1</v>
      </c>
    </row>
    <row r="241" spans="1:39" x14ac:dyDescent="0.3">
      <c r="A241" s="3" t="s">
        <v>547</v>
      </c>
      <c r="B241" t="s">
        <v>548</v>
      </c>
      <c r="C241" t="s">
        <v>29</v>
      </c>
      <c r="D241">
        <v>51</v>
      </c>
      <c r="E241" s="1">
        <v>25473</v>
      </c>
      <c r="F241" s="2">
        <v>44323.415972222225</v>
      </c>
      <c r="G241" t="s">
        <v>30</v>
      </c>
      <c r="H241" s="5">
        <v>2456</v>
      </c>
      <c r="I241" s="6">
        <f t="shared" si="74"/>
        <v>24.56</v>
      </c>
      <c r="J241" s="6">
        <v>1.591</v>
      </c>
      <c r="K241" s="5">
        <v>100</v>
      </c>
      <c r="L241" s="5">
        <v>782</v>
      </c>
      <c r="M241" s="6">
        <f t="shared" si="75"/>
        <v>7.82</v>
      </c>
      <c r="N241" s="6">
        <v>1.0580000000000001</v>
      </c>
      <c r="O241" s="5">
        <v>100</v>
      </c>
      <c r="P241"/>
      <c r="Q241" s="5">
        <v>1854</v>
      </c>
      <c r="R241" s="6">
        <f t="shared" si="76"/>
        <v>18.727272727272727</v>
      </c>
      <c r="S241" s="6">
        <v>1.609</v>
      </c>
      <c r="T241" s="5">
        <v>99</v>
      </c>
      <c r="U241" s="5">
        <v>351</v>
      </c>
      <c r="V241" s="6">
        <f t="shared" si="77"/>
        <v>3.5454545454545454</v>
      </c>
      <c r="W241" s="6">
        <v>0.70399999999999996</v>
      </c>
      <c r="X241" s="5">
        <v>99</v>
      </c>
      <c r="Z241" s="6">
        <f t="shared" si="78"/>
        <v>3.1406649616368285</v>
      </c>
      <c r="AA241" s="6">
        <f t="shared" si="79"/>
        <v>5.2820512820512819</v>
      </c>
      <c r="AB241" s="13">
        <f t="shared" si="80"/>
        <v>0.68182577465965089</v>
      </c>
      <c r="AC241" t="s">
        <v>39</v>
      </c>
      <c r="AE241" s="14" t="s">
        <v>582</v>
      </c>
      <c r="AF241" s="9">
        <v>0.37638888888888888</v>
      </c>
      <c r="AG241" s="9">
        <v>0.44097222222222227</v>
      </c>
      <c r="AH241" s="9">
        <f t="shared" si="72"/>
        <v>6.4583333333333381E-2</v>
      </c>
      <c r="AI241" s="9">
        <f t="shared" si="73"/>
        <v>0.37638888888888888</v>
      </c>
      <c r="AJ241" s="9">
        <v>0.51736111111111105</v>
      </c>
      <c r="AK241" s="9">
        <f t="shared" si="70"/>
        <v>0.14097222222222217</v>
      </c>
      <c r="AM241" t="b">
        <v>1</v>
      </c>
    </row>
    <row r="242" spans="1:39" x14ac:dyDescent="0.3">
      <c r="A242" s="3" t="s">
        <v>549</v>
      </c>
      <c r="B242" t="s">
        <v>550</v>
      </c>
      <c r="C242" t="s">
        <v>52</v>
      </c>
      <c r="D242">
        <v>67</v>
      </c>
      <c r="E242" s="1">
        <v>19803</v>
      </c>
      <c r="F242" s="2">
        <v>44326.437303240738</v>
      </c>
      <c r="G242" t="s">
        <v>30</v>
      </c>
      <c r="H242" s="5">
        <v>3149</v>
      </c>
      <c r="I242" s="6">
        <f t="shared" si="74"/>
        <v>31.80808080808081</v>
      </c>
      <c r="J242" s="6">
        <v>5.2770000000000001</v>
      </c>
      <c r="K242" s="5">
        <v>99</v>
      </c>
      <c r="L242" s="5">
        <v>1287</v>
      </c>
      <c r="M242" s="6">
        <f t="shared" si="75"/>
        <v>13</v>
      </c>
      <c r="N242" s="6">
        <v>3.6030000000000002</v>
      </c>
      <c r="O242" s="5">
        <v>99</v>
      </c>
      <c r="P242"/>
      <c r="Q242" s="5">
        <v>2266</v>
      </c>
      <c r="R242" s="6">
        <f t="shared" si="76"/>
        <v>22.888888888888889</v>
      </c>
      <c r="S242" s="6">
        <v>4.9459999999999997</v>
      </c>
      <c r="T242" s="5">
        <v>99</v>
      </c>
      <c r="U242" s="5">
        <v>515</v>
      </c>
      <c r="V242" s="6">
        <f t="shared" si="77"/>
        <v>5.2020202020202024</v>
      </c>
      <c r="W242" s="6">
        <v>2.1190000000000002</v>
      </c>
      <c r="X242" s="5">
        <v>99</v>
      </c>
      <c r="Z242" s="6">
        <f t="shared" si="78"/>
        <v>2.446775446775447</v>
      </c>
      <c r="AA242" s="6">
        <f t="shared" si="79"/>
        <v>4.3999999999999995</v>
      </c>
      <c r="AB242" s="13">
        <f t="shared" si="80"/>
        <v>0.79828516989520448</v>
      </c>
      <c r="AC242" t="s">
        <v>40</v>
      </c>
      <c r="AE242" s="14" t="s">
        <v>584</v>
      </c>
      <c r="AF242" s="9">
        <v>0.3833333333333333</v>
      </c>
      <c r="AG242" s="9">
        <v>0.44444444444444442</v>
      </c>
      <c r="AH242" s="9">
        <f t="shared" si="72"/>
        <v>6.1111111111111116E-2</v>
      </c>
      <c r="AI242" s="9">
        <f t="shared" si="73"/>
        <v>0.3833333333333333</v>
      </c>
      <c r="AJ242" s="9">
        <v>0.53263888888888888</v>
      </c>
      <c r="AK242" s="9">
        <f t="shared" si="70"/>
        <v>0.14930555555555558</v>
      </c>
      <c r="AM242" t="b">
        <v>1</v>
      </c>
    </row>
    <row r="243" spans="1:39" x14ac:dyDescent="0.3">
      <c r="A243" s="3" t="s">
        <v>551</v>
      </c>
      <c r="B243" t="s">
        <v>552</v>
      </c>
      <c r="C243" t="s">
        <v>52</v>
      </c>
      <c r="D243">
        <v>65</v>
      </c>
      <c r="E243" s="1">
        <v>20264</v>
      </c>
      <c r="F243" s="2">
        <v>44326.441817129627</v>
      </c>
      <c r="G243" t="s">
        <v>30</v>
      </c>
      <c r="H243" s="5">
        <v>2642</v>
      </c>
      <c r="I243" s="6">
        <f t="shared" si="74"/>
        <v>26.42</v>
      </c>
      <c r="J243" s="6">
        <v>4.8810000000000002</v>
      </c>
      <c r="K243" s="5">
        <v>100</v>
      </c>
      <c r="L243" s="5">
        <v>1216</v>
      </c>
      <c r="M243" s="6">
        <f t="shared" si="75"/>
        <v>12.16</v>
      </c>
      <c r="N243" s="6">
        <v>3.3359999999999999</v>
      </c>
      <c r="O243" s="5">
        <v>100</v>
      </c>
      <c r="P243"/>
      <c r="Q243" s="5">
        <v>1920</v>
      </c>
      <c r="R243" s="6">
        <f t="shared" si="76"/>
        <v>19.2</v>
      </c>
      <c r="S243" s="6">
        <v>4.87</v>
      </c>
      <c r="T243" s="5">
        <v>100</v>
      </c>
      <c r="U243" s="5">
        <v>673</v>
      </c>
      <c r="V243" s="6">
        <f t="shared" si="77"/>
        <v>6.73</v>
      </c>
      <c r="W243" s="7">
        <v>2.4980000000000002</v>
      </c>
      <c r="X243" s="5">
        <v>100</v>
      </c>
      <c r="Z243" s="6">
        <f t="shared" si="78"/>
        <v>2.1726973684210527</v>
      </c>
      <c r="AA243" s="6">
        <f t="shared" si="79"/>
        <v>2.8528974739970279</v>
      </c>
      <c r="AB243" s="13">
        <f t="shared" si="80"/>
        <v>0.313067118993333</v>
      </c>
      <c r="AC243" t="s">
        <v>31</v>
      </c>
      <c r="AE243" t="s">
        <v>584</v>
      </c>
      <c r="AF243" s="9">
        <v>0.37708333333333338</v>
      </c>
      <c r="AG243" s="9">
        <v>0.44444444444444442</v>
      </c>
      <c r="AH243" s="9">
        <f t="shared" si="72"/>
        <v>6.7361111111111038E-2</v>
      </c>
      <c r="AI243" s="9">
        <f t="shared" si="73"/>
        <v>0.37708333333333338</v>
      </c>
      <c r="AJ243" s="9">
        <v>0.52083333333333337</v>
      </c>
      <c r="AK243" s="9">
        <f t="shared" si="70"/>
        <v>0.14374999999999999</v>
      </c>
      <c r="AM243" t="b">
        <v>1</v>
      </c>
    </row>
    <row r="244" spans="1:39" x14ac:dyDescent="0.3">
      <c r="A244" s="3" t="s">
        <v>553</v>
      </c>
      <c r="B244" t="s">
        <v>554</v>
      </c>
      <c r="C244" t="s">
        <v>29</v>
      </c>
      <c r="D244">
        <v>58</v>
      </c>
      <c r="E244" s="1">
        <v>22850</v>
      </c>
      <c r="F244" s="2">
        <v>44328.418981481482</v>
      </c>
      <c r="G244" t="s">
        <v>30</v>
      </c>
      <c r="H244" s="5">
        <v>2456</v>
      </c>
      <c r="I244" s="6">
        <f t="shared" si="74"/>
        <v>24.80808080808081</v>
      </c>
      <c r="J244" s="6">
        <v>2.0539999999999998</v>
      </c>
      <c r="K244" s="5">
        <v>99</v>
      </c>
      <c r="L244" s="5">
        <v>1153</v>
      </c>
      <c r="M244" s="6">
        <f t="shared" si="75"/>
        <v>11.646464646464647</v>
      </c>
      <c r="N244" s="6">
        <v>1.335</v>
      </c>
      <c r="O244" s="5">
        <v>99</v>
      </c>
      <c r="P244"/>
      <c r="Q244" s="5">
        <v>2049</v>
      </c>
      <c r="R244" s="6">
        <f t="shared" si="76"/>
        <v>20.49</v>
      </c>
      <c r="S244" s="6">
        <v>2.0910000000000002</v>
      </c>
      <c r="T244" s="5">
        <v>100</v>
      </c>
      <c r="U244" s="5">
        <v>436</v>
      </c>
      <c r="V244" s="6">
        <f t="shared" si="77"/>
        <v>4.3600000000000003</v>
      </c>
      <c r="W244" s="7">
        <v>0.68899999999999995</v>
      </c>
      <c r="X244" s="5">
        <v>100</v>
      </c>
      <c r="Z244" s="6">
        <f t="shared" si="78"/>
        <v>2.1300954032957504</v>
      </c>
      <c r="AA244" s="6">
        <f t="shared" si="79"/>
        <v>4.6995412844036686</v>
      </c>
      <c r="AB244" s="13">
        <f t="shared" si="80"/>
        <v>1.2062585915787578</v>
      </c>
      <c r="AC244" t="s">
        <v>39</v>
      </c>
      <c r="AE244" t="s">
        <v>582</v>
      </c>
      <c r="AF244" s="9">
        <v>0.39513888888888887</v>
      </c>
      <c r="AG244" s="9">
        <v>0.44444444444444442</v>
      </c>
      <c r="AH244" s="9">
        <f t="shared" si="72"/>
        <v>4.9305555555555547E-2</v>
      </c>
      <c r="AI244" s="9">
        <f t="shared" si="73"/>
        <v>0.39513888888888887</v>
      </c>
      <c r="AJ244" s="9">
        <v>0.52083333333333337</v>
      </c>
      <c r="AK244" s="9">
        <f t="shared" si="70"/>
        <v>0.1256944444444445</v>
      </c>
      <c r="AM244" t="b">
        <v>1</v>
      </c>
    </row>
    <row r="245" spans="1:39" x14ac:dyDescent="0.3">
      <c r="A245" s="3" t="s">
        <v>555</v>
      </c>
      <c r="B245" t="s">
        <v>556</v>
      </c>
      <c r="C245" t="s">
        <v>52</v>
      </c>
      <c r="D245">
        <v>64</v>
      </c>
      <c r="E245" s="1">
        <v>20733</v>
      </c>
      <c r="F245" s="2">
        <v>44328.445277777777</v>
      </c>
      <c r="G245" t="s">
        <v>30</v>
      </c>
      <c r="H245" s="5">
        <v>1770</v>
      </c>
      <c r="I245" s="6">
        <f t="shared" si="74"/>
        <v>17.7</v>
      </c>
      <c r="J245" s="6">
        <v>4.7149999999999999</v>
      </c>
      <c r="K245" s="5">
        <v>100</v>
      </c>
      <c r="L245" s="5">
        <v>1696</v>
      </c>
      <c r="M245" s="6">
        <f t="shared" si="75"/>
        <v>16.96</v>
      </c>
      <c r="N245" s="6">
        <v>4.3600000000000003</v>
      </c>
      <c r="O245" s="5">
        <v>100</v>
      </c>
      <c r="P245"/>
      <c r="Q245" s="5">
        <v>1217</v>
      </c>
      <c r="R245" s="6">
        <f t="shared" si="76"/>
        <v>12.17</v>
      </c>
      <c r="S245" s="6">
        <v>3.7530000000000001</v>
      </c>
      <c r="T245" s="5">
        <v>100</v>
      </c>
      <c r="U245" s="5">
        <v>699</v>
      </c>
      <c r="V245" s="6">
        <f t="shared" si="77"/>
        <v>6.99</v>
      </c>
      <c r="W245" s="6">
        <v>2.7469999999999999</v>
      </c>
      <c r="X245" s="5">
        <v>100</v>
      </c>
      <c r="Z245" s="6">
        <f t="shared" si="78"/>
        <v>1.0436320754716981</v>
      </c>
      <c r="AA245" s="6">
        <f t="shared" si="79"/>
        <v>1.7410586552217453</v>
      </c>
      <c r="AB245" s="13">
        <f t="shared" si="80"/>
        <v>0.66826863234806777</v>
      </c>
      <c r="AC245" t="s">
        <v>31</v>
      </c>
      <c r="AE245" t="s">
        <v>584</v>
      </c>
      <c r="AF245" s="9">
        <v>0.38194444444444442</v>
      </c>
      <c r="AG245" s="9">
        <v>0.44444444444444442</v>
      </c>
      <c r="AH245" s="9">
        <f t="shared" si="72"/>
        <v>6.25E-2</v>
      </c>
      <c r="AI245" s="9">
        <f t="shared" si="73"/>
        <v>0.38194444444444442</v>
      </c>
      <c r="AJ245" s="9">
        <v>0.52083333333333337</v>
      </c>
      <c r="AK245" s="9">
        <f t="shared" si="70"/>
        <v>0.13888888888888895</v>
      </c>
      <c r="AM245" t="b">
        <v>1</v>
      </c>
    </row>
    <row r="246" spans="1:39" x14ac:dyDescent="0.3">
      <c r="A246" s="3" t="s">
        <v>557</v>
      </c>
      <c r="B246" t="s">
        <v>558</v>
      </c>
      <c r="C246" t="s">
        <v>29</v>
      </c>
      <c r="D246">
        <v>50</v>
      </c>
      <c r="E246" s="1">
        <v>25744</v>
      </c>
      <c r="F246" s="2">
        <v>44329.428171296298</v>
      </c>
      <c r="G246" t="s">
        <v>30</v>
      </c>
      <c r="H246" s="5">
        <v>2094</v>
      </c>
      <c r="I246" s="6">
        <f t="shared" si="74"/>
        <v>20.94</v>
      </c>
      <c r="J246" s="6">
        <v>5.3250000000000002</v>
      </c>
      <c r="K246" s="5">
        <v>100</v>
      </c>
      <c r="L246" s="5">
        <v>1428</v>
      </c>
      <c r="M246" s="6">
        <f t="shared" si="75"/>
        <v>14.28</v>
      </c>
      <c r="N246" s="6">
        <v>4.09</v>
      </c>
      <c r="O246" s="5">
        <v>100</v>
      </c>
      <c r="P246"/>
      <c r="Q246" s="5">
        <v>1481</v>
      </c>
      <c r="R246" s="6">
        <f t="shared" si="76"/>
        <v>14.95959595959596</v>
      </c>
      <c r="S246" s="6">
        <v>4.1130000000000004</v>
      </c>
      <c r="T246" s="5">
        <v>99</v>
      </c>
      <c r="U246" s="5">
        <v>526</v>
      </c>
      <c r="V246" s="6">
        <f t="shared" si="77"/>
        <v>5.3131313131313131</v>
      </c>
      <c r="W246" s="6">
        <v>2.5299999999999998</v>
      </c>
      <c r="X246" s="5">
        <v>99</v>
      </c>
      <c r="Z246" s="6">
        <f t="shared" si="78"/>
        <v>1.4663865546218489</v>
      </c>
      <c r="AA246" s="6">
        <f t="shared" si="79"/>
        <v>2.8155893536121672</v>
      </c>
      <c r="AB246" s="13">
        <f t="shared" si="80"/>
        <v>0.92008672252061818</v>
      </c>
      <c r="AC246" t="s">
        <v>31</v>
      </c>
      <c r="AE246" t="s">
        <v>584</v>
      </c>
      <c r="AF246" s="9">
        <v>0.39513888888888887</v>
      </c>
      <c r="AG246" s="9">
        <v>0.43055555555555558</v>
      </c>
      <c r="AH246" s="9">
        <f t="shared" si="72"/>
        <v>3.5416666666666707E-2</v>
      </c>
      <c r="AI246" s="9">
        <f t="shared" si="73"/>
        <v>0.39513888888888887</v>
      </c>
      <c r="AJ246" s="9">
        <v>0.52777777777777779</v>
      </c>
      <c r="AK246" s="9">
        <f t="shared" si="70"/>
        <v>0.13263888888888892</v>
      </c>
      <c r="AM246" t="b">
        <v>1</v>
      </c>
    </row>
    <row r="247" spans="1:39" x14ac:dyDescent="0.3">
      <c r="A247" s="3" t="s">
        <v>559</v>
      </c>
      <c r="B247" t="s">
        <v>560</v>
      </c>
      <c r="C247" t="s">
        <v>29</v>
      </c>
      <c r="D247">
        <v>56</v>
      </c>
      <c r="E247" s="1">
        <v>23699</v>
      </c>
      <c r="F247" s="2">
        <v>44330.435150462959</v>
      </c>
      <c r="G247" t="s">
        <v>30</v>
      </c>
      <c r="H247" s="5">
        <v>3099</v>
      </c>
      <c r="I247" s="6">
        <f t="shared" si="74"/>
        <v>31.303030303030305</v>
      </c>
      <c r="J247" s="6">
        <v>5.45</v>
      </c>
      <c r="K247" s="5">
        <v>99</v>
      </c>
      <c r="L247" s="5">
        <v>2009</v>
      </c>
      <c r="M247" s="6">
        <f t="shared" si="75"/>
        <v>20.292929292929294</v>
      </c>
      <c r="N247" s="6">
        <v>4.9429999999999996</v>
      </c>
      <c r="O247" s="5">
        <v>99</v>
      </c>
      <c r="P247"/>
      <c r="Q247" s="5">
        <v>2106</v>
      </c>
      <c r="R247" s="6">
        <f t="shared" si="76"/>
        <v>21.06</v>
      </c>
      <c r="S247" s="6">
        <v>4.5789999999999997</v>
      </c>
      <c r="T247" s="5">
        <v>100</v>
      </c>
      <c r="U247" s="5">
        <v>948</v>
      </c>
      <c r="V247" s="6">
        <f t="shared" si="77"/>
        <v>9.48</v>
      </c>
      <c r="W247" s="6">
        <v>3.41</v>
      </c>
      <c r="X247" s="5">
        <v>100</v>
      </c>
      <c r="Z247" s="6">
        <f t="shared" si="78"/>
        <v>1.5425584868093578</v>
      </c>
      <c r="AA247" s="6">
        <f t="shared" si="79"/>
        <v>2.221518987341772</v>
      </c>
      <c r="AB247" s="13">
        <f t="shared" si="80"/>
        <v>0.44015219282659573</v>
      </c>
      <c r="AC247" t="s">
        <v>40</v>
      </c>
      <c r="AE247" t="s">
        <v>582</v>
      </c>
      <c r="AF247" s="9">
        <v>0.38680555555555557</v>
      </c>
      <c r="AG247" s="9">
        <v>0.44444444444444442</v>
      </c>
      <c r="AH247" s="9">
        <f t="shared" si="72"/>
        <v>5.7638888888888851E-2</v>
      </c>
      <c r="AI247" s="9">
        <f t="shared" si="73"/>
        <v>0.38680555555555557</v>
      </c>
      <c r="AJ247" s="9">
        <v>0.51944444444444449</v>
      </c>
      <c r="AK247" s="9">
        <f t="shared" si="70"/>
        <v>0.13263888888888892</v>
      </c>
      <c r="AM247" t="b">
        <v>1</v>
      </c>
    </row>
    <row r="248" spans="1:39" x14ac:dyDescent="0.3">
      <c r="A248" s="3" t="s">
        <v>561</v>
      </c>
      <c r="B248" t="s">
        <v>562</v>
      </c>
      <c r="C248" t="s">
        <v>52</v>
      </c>
      <c r="D248">
        <v>70</v>
      </c>
      <c r="E248" s="1">
        <v>18540</v>
      </c>
      <c r="F248" s="2">
        <v>44329.421666666669</v>
      </c>
      <c r="G248" t="s">
        <v>30</v>
      </c>
      <c r="H248" s="5">
        <v>2401</v>
      </c>
      <c r="I248" s="6">
        <f t="shared" si="74"/>
        <v>24.252525252525253</v>
      </c>
      <c r="J248" s="6">
        <v>5.0659999999999998</v>
      </c>
      <c r="K248" s="5">
        <v>99</v>
      </c>
      <c r="L248" s="5">
        <v>1833</v>
      </c>
      <c r="M248" s="6">
        <f t="shared" si="75"/>
        <v>18.515151515151516</v>
      </c>
      <c r="N248" s="6">
        <v>4.117</v>
      </c>
      <c r="O248" s="5">
        <v>99</v>
      </c>
      <c r="P248"/>
      <c r="Q248" s="5">
        <v>1736</v>
      </c>
      <c r="R248" s="6">
        <f t="shared" si="76"/>
        <v>17.535353535353536</v>
      </c>
      <c r="S248" s="6">
        <v>4.2069999999999999</v>
      </c>
      <c r="T248" s="5">
        <v>99</v>
      </c>
      <c r="U248" s="5">
        <v>837</v>
      </c>
      <c r="V248" s="6">
        <f t="shared" si="77"/>
        <v>8.454545454545455</v>
      </c>
      <c r="W248" s="6">
        <v>2.734</v>
      </c>
      <c r="X248" s="5">
        <v>99</v>
      </c>
      <c r="Z248" s="6">
        <f t="shared" si="78"/>
        <v>1.30987452264048</v>
      </c>
      <c r="AA248" s="6">
        <f t="shared" si="79"/>
        <v>2.074074074074074</v>
      </c>
      <c r="AB248" s="13">
        <f t="shared" si="80"/>
        <v>0.58341431810819566</v>
      </c>
      <c r="AC248" t="s">
        <v>40</v>
      </c>
      <c r="AE248" t="s">
        <v>583</v>
      </c>
      <c r="AF248" s="9">
        <v>0.39097222222222222</v>
      </c>
      <c r="AG248" s="9">
        <v>0.44444444444444442</v>
      </c>
      <c r="AH248" s="9">
        <f t="shared" si="72"/>
        <v>5.3472222222222199E-2</v>
      </c>
      <c r="AI248" s="9">
        <f t="shared" si="73"/>
        <v>0.39097222222222222</v>
      </c>
      <c r="AJ248" s="9">
        <v>0.51874999999999993</v>
      </c>
      <c r="AK248" s="9">
        <f t="shared" si="70"/>
        <v>0.12777777777777771</v>
      </c>
      <c r="AM248" t="b">
        <v>1</v>
      </c>
    </row>
    <row r="249" spans="1:39" x14ac:dyDescent="0.3">
      <c r="A249" s="3" t="s">
        <v>563</v>
      </c>
      <c r="B249" t="s">
        <v>564</v>
      </c>
      <c r="C249" t="s">
        <v>52</v>
      </c>
      <c r="D249">
        <v>76</v>
      </c>
      <c r="E249" s="1">
        <v>16428</v>
      </c>
      <c r="F249" s="2">
        <v>44333.433067129627</v>
      </c>
      <c r="G249" t="s">
        <v>30</v>
      </c>
      <c r="H249" s="5">
        <v>2699</v>
      </c>
      <c r="I249" s="6">
        <f t="shared" si="74"/>
        <v>27.262626262626263</v>
      </c>
      <c r="J249" s="6">
        <v>4.8769999999999998</v>
      </c>
      <c r="K249" s="5">
        <v>99</v>
      </c>
      <c r="L249" s="5">
        <v>1870</v>
      </c>
      <c r="M249" s="6">
        <f t="shared" si="75"/>
        <v>18.888888888888889</v>
      </c>
      <c r="N249" s="6">
        <v>4.7830000000000004</v>
      </c>
      <c r="O249" s="5">
        <v>99</v>
      </c>
      <c r="P249"/>
      <c r="Q249" s="5">
        <v>1945</v>
      </c>
      <c r="R249" s="6">
        <f t="shared" si="76"/>
        <v>19.646464646464647</v>
      </c>
      <c r="S249" s="6">
        <v>4.5209999999999999</v>
      </c>
      <c r="T249" s="5">
        <v>99</v>
      </c>
      <c r="U249" s="5">
        <v>1014</v>
      </c>
      <c r="V249" s="6">
        <f t="shared" si="77"/>
        <v>10.242424242424242</v>
      </c>
      <c r="W249" s="6">
        <v>3.097</v>
      </c>
      <c r="X249" s="5">
        <v>99</v>
      </c>
      <c r="Z249" s="6">
        <f t="shared" si="78"/>
        <v>1.4433155080213904</v>
      </c>
      <c r="AA249" s="6">
        <f t="shared" si="79"/>
        <v>1.9181459566074952</v>
      </c>
      <c r="AB249" s="13">
        <f t="shared" si="80"/>
        <v>0.32898589805706407</v>
      </c>
      <c r="AC249" t="s">
        <v>40</v>
      </c>
      <c r="AE249" t="s">
        <v>584</v>
      </c>
      <c r="AF249" s="9">
        <v>0.38194444444444442</v>
      </c>
      <c r="AG249" s="9">
        <v>0.44444444444444442</v>
      </c>
      <c r="AH249" s="9">
        <f t="shared" si="72"/>
        <v>6.25E-2</v>
      </c>
      <c r="AI249" s="9">
        <f t="shared" si="73"/>
        <v>0.38194444444444442</v>
      </c>
      <c r="AJ249" s="9">
        <v>0.52083333333333337</v>
      </c>
      <c r="AK249" s="9">
        <f t="shared" si="70"/>
        <v>0.13888888888888895</v>
      </c>
      <c r="AM249" t="b">
        <v>1</v>
      </c>
    </row>
    <row r="250" spans="1:39" x14ac:dyDescent="0.3">
      <c r="A250" s="3" t="s">
        <v>565</v>
      </c>
      <c r="B250" t="s">
        <v>566</v>
      </c>
      <c r="C250" t="s">
        <v>29</v>
      </c>
      <c r="D250">
        <v>57</v>
      </c>
      <c r="E250" s="1">
        <v>23461</v>
      </c>
      <c r="F250" s="2">
        <v>44337.436296296299</v>
      </c>
      <c r="G250" t="s">
        <v>30</v>
      </c>
      <c r="H250" s="5">
        <v>2492</v>
      </c>
      <c r="I250" s="6">
        <f t="shared" si="74"/>
        <v>25.171717171717173</v>
      </c>
      <c r="J250" s="6">
        <v>4.7569999999999997</v>
      </c>
      <c r="K250" s="5">
        <v>99</v>
      </c>
      <c r="L250" s="5">
        <v>1035</v>
      </c>
      <c r="M250" s="6">
        <f t="shared" si="75"/>
        <v>10.454545454545455</v>
      </c>
      <c r="N250" s="6">
        <v>3.1309999999999998</v>
      </c>
      <c r="O250" s="5">
        <v>99</v>
      </c>
      <c r="P250"/>
      <c r="Q250" s="5">
        <v>1817</v>
      </c>
      <c r="R250" s="6">
        <f t="shared" si="76"/>
        <v>18.170000000000002</v>
      </c>
      <c r="S250" s="6">
        <v>4.6580000000000004</v>
      </c>
      <c r="T250" s="5">
        <v>100</v>
      </c>
      <c r="U250" s="5">
        <v>395</v>
      </c>
      <c r="V250" s="6">
        <f t="shared" si="77"/>
        <v>3.95</v>
      </c>
      <c r="W250" s="6">
        <v>1.992</v>
      </c>
      <c r="X250" s="5">
        <v>100</v>
      </c>
      <c r="Z250" s="6">
        <f t="shared" si="78"/>
        <v>2.407729468599034</v>
      </c>
      <c r="AA250" s="6">
        <f t="shared" si="79"/>
        <v>4.6000000000000005</v>
      </c>
      <c r="AB250" s="13">
        <f t="shared" si="80"/>
        <v>0.9105136436597111</v>
      </c>
      <c r="AC250" t="s">
        <v>40</v>
      </c>
      <c r="AE250" t="s">
        <v>582</v>
      </c>
      <c r="AF250" s="9">
        <v>0.38819444444444445</v>
      </c>
      <c r="AG250" s="9">
        <v>0.44444444444444442</v>
      </c>
      <c r="AH250" s="9">
        <f t="shared" si="72"/>
        <v>5.6249999999999967E-2</v>
      </c>
      <c r="AI250" s="9">
        <f t="shared" si="73"/>
        <v>0.38819444444444445</v>
      </c>
      <c r="AJ250" s="9">
        <v>0.53125</v>
      </c>
      <c r="AK250" s="9">
        <f t="shared" si="70"/>
        <v>0.14305555555555555</v>
      </c>
      <c r="AM250" t="b">
        <v>1</v>
      </c>
    </row>
    <row r="251" spans="1:39" x14ac:dyDescent="0.3">
      <c r="A251" s="3" t="s">
        <v>567</v>
      </c>
      <c r="B251" t="s">
        <v>568</v>
      </c>
      <c r="C251" t="s">
        <v>29</v>
      </c>
      <c r="D251">
        <v>47</v>
      </c>
      <c r="E251" s="1">
        <v>27159</v>
      </c>
      <c r="F251" s="2">
        <v>44337.445289351854</v>
      </c>
      <c r="G251" t="s">
        <v>30</v>
      </c>
      <c r="H251" s="5">
        <v>1774</v>
      </c>
      <c r="I251" s="6">
        <f t="shared" si="74"/>
        <v>17.91919191919192</v>
      </c>
      <c r="J251" s="6">
        <v>4.6550000000000002</v>
      </c>
      <c r="K251" s="5">
        <v>99</v>
      </c>
      <c r="L251" s="5">
        <v>1185</v>
      </c>
      <c r="M251" s="6">
        <f t="shared" si="75"/>
        <v>11.969696969696969</v>
      </c>
      <c r="N251" s="6">
        <v>3.3820000000000001</v>
      </c>
      <c r="O251" s="5">
        <v>99</v>
      </c>
      <c r="P251"/>
      <c r="Q251" s="5">
        <v>1307</v>
      </c>
      <c r="R251" s="6">
        <f t="shared" si="76"/>
        <v>13.202020202020202</v>
      </c>
      <c r="S251" s="6">
        <v>3.7770000000000001</v>
      </c>
      <c r="T251" s="5">
        <v>99</v>
      </c>
      <c r="U251" s="5">
        <v>524</v>
      </c>
      <c r="V251" s="6">
        <f t="shared" si="77"/>
        <v>5.2929292929292933</v>
      </c>
      <c r="W251" s="6">
        <v>2.387</v>
      </c>
      <c r="X251" s="5">
        <v>99</v>
      </c>
      <c r="Z251" s="6">
        <f t="shared" si="78"/>
        <v>1.49704641350211</v>
      </c>
      <c r="AA251" s="6">
        <f t="shared" si="79"/>
        <v>2.4942748091603053</v>
      </c>
      <c r="AB251" s="13">
        <f t="shared" si="80"/>
        <v>0.6661305799633378</v>
      </c>
      <c r="AC251" t="s">
        <v>31</v>
      </c>
      <c r="AE251" t="s">
        <v>582</v>
      </c>
      <c r="AF251" s="9">
        <v>0.3833333333333333</v>
      </c>
      <c r="AG251" s="9">
        <v>0.44444444444444442</v>
      </c>
      <c r="AH251" s="9">
        <f t="shared" si="72"/>
        <v>6.1111111111111116E-2</v>
      </c>
      <c r="AI251" s="9">
        <f t="shared" si="73"/>
        <v>0.3833333333333333</v>
      </c>
      <c r="AJ251" s="9">
        <v>0.53472222222222221</v>
      </c>
      <c r="AK251" s="9">
        <f t="shared" si="70"/>
        <v>0.15138888888888891</v>
      </c>
      <c r="AM251" t="b">
        <v>1</v>
      </c>
    </row>
    <row r="252" spans="1:39" x14ac:dyDescent="0.3">
      <c r="A252" s="3" t="s">
        <v>569</v>
      </c>
      <c r="B252" t="s">
        <v>570</v>
      </c>
      <c r="C252" t="s">
        <v>29</v>
      </c>
      <c r="D252">
        <v>58</v>
      </c>
      <c r="E252" s="1">
        <v>22897</v>
      </c>
      <c r="F252" s="2">
        <v>44341.433611111112</v>
      </c>
      <c r="G252" t="s">
        <v>30</v>
      </c>
      <c r="H252" s="5">
        <v>2496</v>
      </c>
      <c r="I252" s="6">
        <f t="shared" si="74"/>
        <v>25.212121212121211</v>
      </c>
      <c r="J252" s="6">
        <v>5.8609999999999998</v>
      </c>
      <c r="K252" s="5">
        <v>99</v>
      </c>
      <c r="L252" s="5">
        <v>1185</v>
      </c>
      <c r="M252" s="6">
        <f t="shared" si="75"/>
        <v>11.969696969696969</v>
      </c>
      <c r="N252" s="6">
        <v>3.367</v>
      </c>
      <c r="O252" s="5">
        <v>99</v>
      </c>
      <c r="P252"/>
      <c r="Q252" s="5">
        <v>1642</v>
      </c>
      <c r="R252" s="6">
        <f t="shared" si="76"/>
        <v>16.420000000000002</v>
      </c>
      <c r="S252" s="6">
        <v>5.0780000000000003</v>
      </c>
      <c r="T252" s="5">
        <v>100</v>
      </c>
      <c r="U252" s="5">
        <v>362</v>
      </c>
      <c r="V252" s="6">
        <f t="shared" si="77"/>
        <v>3.62</v>
      </c>
      <c r="W252" s="6">
        <v>1.9319999999999999</v>
      </c>
      <c r="X252" s="5">
        <v>100</v>
      </c>
      <c r="Z252" s="6">
        <f t="shared" si="78"/>
        <v>2.1063291139240508</v>
      </c>
      <c r="AA252" s="6">
        <f t="shared" si="79"/>
        <v>4.5359116022099455</v>
      </c>
      <c r="AB252" s="13">
        <f t="shared" si="80"/>
        <v>1.1534676476838082</v>
      </c>
      <c r="AC252" t="s">
        <v>31</v>
      </c>
      <c r="AE252" t="s">
        <v>583</v>
      </c>
      <c r="AF252" s="9">
        <v>0.39027777777777778</v>
      </c>
      <c r="AG252" s="9">
        <v>0.44444444444444442</v>
      </c>
      <c r="AH252" s="9">
        <f t="shared" si="72"/>
        <v>5.4166666666666641E-2</v>
      </c>
      <c r="AI252" s="9">
        <f t="shared" si="73"/>
        <v>0.39027777777777778</v>
      </c>
      <c r="AJ252" s="9">
        <v>0.53472222222222221</v>
      </c>
      <c r="AK252" s="9">
        <f t="shared" si="70"/>
        <v>0.14444444444444443</v>
      </c>
      <c r="AM252" t="b">
        <v>1</v>
      </c>
    </row>
    <row r="253" spans="1:39" x14ac:dyDescent="0.3">
      <c r="A253" s="3" t="s">
        <v>571</v>
      </c>
      <c r="B253" t="s">
        <v>68</v>
      </c>
      <c r="C253" t="s">
        <v>29</v>
      </c>
      <c r="D253">
        <v>47</v>
      </c>
      <c r="E253" s="1">
        <v>27085</v>
      </c>
      <c r="F253" s="2">
        <v>44341.440081018518</v>
      </c>
      <c r="G253" t="s">
        <v>30</v>
      </c>
      <c r="H253" s="5">
        <v>2796</v>
      </c>
      <c r="I253" s="6">
        <f t="shared" si="74"/>
        <v>27.96</v>
      </c>
      <c r="J253" s="6">
        <v>4.7839999999999998</v>
      </c>
      <c r="K253" s="5">
        <v>100</v>
      </c>
      <c r="L253" s="5">
        <v>1052</v>
      </c>
      <c r="M253" s="6">
        <f t="shared" si="75"/>
        <v>10.52</v>
      </c>
      <c r="N253" s="6">
        <v>3.5720000000000001</v>
      </c>
      <c r="O253" s="5">
        <v>100</v>
      </c>
      <c r="P253"/>
      <c r="Q253" s="5">
        <v>1784</v>
      </c>
      <c r="R253" s="6">
        <f t="shared" si="76"/>
        <v>17.84</v>
      </c>
      <c r="S253" s="6">
        <v>4.3620000000000001</v>
      </c>
      <c r="T253" s="5">
        <v>100</v>
      </c>
      <c r="U253" s="5">
        <v>349</v>
      </c>
      <c r="V253" s="6">
        <f t="shared" si="77"/>
        <v>3.49</v>
      </c>
      <c r="W253" s="6">
        <v>1.778</v>
      </c>
      <c r="X253" s="5">
        <v>100</v>
      </c>
      <c r="Z253" s="6">
        <f t="shared" si="78"/>
        <v>2.6577946768060841</v>
      </c>
      <c r="AA253" s="6">
        <f t="shared" si="79"/>
        <v>5.1117478510028649</v>
      </c>
      <c r="AB253" s="13">
        <f t="shared" si="80"/>
        <v>0.92330427011981864</v>
      </c>
      <c r="AC253" t="s">
        <v>40</v>
      </c>
      <c r="AE253" t="s">
        <v>582</v>
      </c>
      <c r="AF253" s="9">
        <v>0.40069444444444446</v>
      </c>
      <c r="AG253" s="9">
        <v>0.44444444444444442</v>
      </c>
      <c r="AH253" s="9">
        <f t="shared" si="72"/>
        <v>4.3749999999999956E-2</v>
      </c>
      <c r="AI253" s="9">
        <f t="shared" si="73"/>
        <v>0.40069444444444446</v>
      </c>
      <c r="AJ253" s="9">
        <v>0.52638888888888891</v>
      </c>
      <c r="AK253" s="9">
        <f t="shared" si="70"/>
        <v>0.12569444444444444</v>
      </c>
      <c r="AM253" t="b">
        <v>1</v>
      </c>
    </row>
    <row r="254" spans="1:39" x14ac:dyDescent="0.3">
      <c r="A254" s="3" t="s">
        <v>572</v>
      </c>
      <c r="B254" t="s">
        <v>573</v>
      </c>
      <c r="C254" t="s">
        <v>29</v>
      </c>
      <c r="D254">
        <v>54</v>
      </c>
      <c r="E254" s="1">
        <v>24275</v>
      </c>
      <c r="F254" s="2">
        <v>44342.442106481481</v>
      </c>
      <c r="G254" t="s">
        <v>30</v>
      </c>
      <c r="H254" s="5">
        <v>1613</v>
      </c>
      <c r="I254" s="6">
        <f t="shared" si="74"/>
        <v>16.292929292929294</v>
      </c>
      <c r="J254" s="6">
        <v>3.9470000000000001</v>
      </c>
      <c r="K254" s="5">
        <v>99</v>
      </c>
      <c r="L254" s="5">
        <v>799</v>
      </c>
      <c r="M254" s="6">
        <f t="shared" si="75"/>
        <v>8.0707070707070709</v>
      </c>
      <c r="N254" s="6">
        <v>2.532</v>
      </c>
      <c r="O254" s="5">
        <v>99</v>
      </c>
      <c r="P254"/>
      <c r="Q254" s="5">
        <v>1107</v>
      </c>
      <c r="R254" s="6">
        <f t="shared" si="76"/>
        <v>11.181818181818182</v>
      </c>
      <c r="S254" s="6">
        <v>4.0010000000000003</v>
      </c>
      <c r="T254" s="5">
        <v>99</v>
      </c>
      <c r="U254" s="5">
        <v>297</v>
      </c>
      <c r="V254" s="6">
        <f t="shared" si="77"/>
        <v>3</v>
      </c>
      <c r="W254" s="6">
        <v>1.421</v>
      </c>
      <c r="X254" s="5">
        <v>99</v>
      </c>
      <c r="Z254" s="6">
        <f t="shared" si="78"/>
        <v>2.018773466833542</v>
      </c>
      <c r="AA254" s="6">
        <f t="shared" si="79"/>
        <v>3.7272727272727271</v>
      </c>
      <c r="AB254" s="13">
        <f t="shared" si="80"/>
        <v>0.84630558530124544</v>
      </c>
      <c r="AC254" t="s">
        <v>31</v>
      </c>
      <c r="AE254" t="s">
        <v>582</v>
      </c>
      <c r="AF254" s="9">
        <v>0.37708333333333338</v>
      </c>
      <c r="AG254" s="9">
        <v>0.44444444444444442</v>
      </c>
      <c r="AH254" s="9">
        <f t="shared" si="72"/>
        <v>6.7361111111111038E-2</v>
      </c>
      <c r="AI254" s="9">
        <f t="shared" si="73"/>
        <v>0.37708333333333338</v>
      </c>
      <c r="AJ254" s="9">
        <v>0.52083333333333337</v>
      </c>
      <c r="AK254" s="9">
        <f t="shared" si="70"/>
        <v>0.14374999999999999</v>
      </c>
      <c r="AM254" t="b">
        <v>1</v>
      </c>
    </row>
    <row r="255" spans="1:39" x14ac:dyDescent="0.3">
      <c r="A255" s="3" t="s">
        <v>574</v>
      </c>
      <c r="B255" t="s">
        <v>575</v>
      </c>
      <c r="C255" t="s">
        <v>29</v>
      </c>
      <c r="D255">
        <v>72</v>
      </c>
      <c r="E255" s="1">
        <v>17836</v>
      </c>
      <c r="F255" s="2">
        <v>44344.444745370369</v>
      </c>
      <c r="G255" t="s">
        <v>30</v>
      </c>
      <c r="H255" s="5">
        <v>1958</v>
      </c>
      <c r="I255" s="6">
        <f t="shared" si="74"/>
        <v>19.777777777777779</v>
      </c>
      <c r="J255" s="6">
        <v>4.3529999999999998</v>
      </c>
      <c r="K255" s="5">
        <v>99</v>
      </c>
      <c r="L255" s="5">
        <v>789</v>
      </c>
      <c r="M255" s="6">
        <f t="shared" si="75"/>
        <v>7.9696969696969697</v>
      </c>
      <c r="N255" s="6">
        <v>3.1379999999999999</v>
      </c>
      <c r="O255" s="5">
        <v>99</v>
      </c>
      <c r="P255"/>
      <c r="Q255" s="5">
        <v>1495</v>
      </c>
      <c r="R255" s="6">
        <f t="shared" si="76"/>
        <v>15.1010101010101</v>
      </c>
      <c r="S255" s="6">
        <v>3.6379999999999999</v>
      </c>
      <c r="T255" s="5">
        <v>99</v>
      </c>
      <c r="U255" s="5">
        <v>383</v>
      </c>
      <c r="V255" s="6">
        <f t="shared" si="77"/>
        <v>3.8686868686868685</v>
      </c>
      <c r="W255" s="6">
        <v>2.0289999999999999</v>
      </c>
      <c r="X255" s="5">
        <v>99</v>
      </c>
      <c r="Z255" s="6">
        <f t="shared" si="78"/>
        <v>2.4816223067173637</v>
      </c>
      <c r="AA255" s="6">
        <f t="shared" si="79"/>
        <v>3.9033942558746735</v>
      </c>
      <c r="AB255" s="13">
        <f t="shared" si="80"/>
        <v>0.57292036153478931</v>
      </c>
      <c r="AC255" t="s">
        <v>31</v>
      </c>
      <c r="AE255" t="s">
        <v>583</v>
      </c>
      <c r="AF255" s="9">
        <v>0.3888888888888889</v>
      </c>
      <c r="AG255" s="9">
        <v>0.44444444444444442</v>
      </c>
      <c r="AH255" s="9">
        <f t="shared" si="72"/>
        <v>5.5555555555555525E-2</v>
      </c>
      <c r="AI255" s="9">
        <f t="shared" si="73"/>
        <v>0.3888888888888889</v>
      </c>
      <c r="AJ255" s="9">
        <v>0.52083333333333337</v>
      </c>
      <c r="AK255" s="9">
        <f t="shared" si="70"/>
        <v>0.13194444444444448</v>
      </c>
      <c r="AM255" t="b">
        <v>1</v>
      </c>
    </row>
    <row r="256" spans="1:39" x14ac:dyDescent="0.3">
      <c r="A256" s="3" t="s">
        <v>576</v>
      </c>
      <c r="B256" t="s">
        <v>577</v>
      </c>
      <c r="C256" t="s">
        <v>29</v>
      </c>
      <c r="D256">
        <v>39</v>
      </c>
      <c r="E256" s="1">
        <v>29829</v>
      </c>
      <c r="F256" s="2">
        <v>44343.441574074073</v>
      </c>
      <c r="G256" t="s">
        <v>30</v>
      </c>
      <c r="H256" s="5">
        <v>1464</v>
      </c>
      <c r="I256" s="6">
        <f t="shared" si="74"/>
        <v>14.64</v>
      </c>
      <c r="J256" s="6">
        <v>4.069</v>
      </c>
      <c r="K256" s="5">
        <v>100</v>
      </c>
      <c r="L256" s="5">
        <v>693</v>
      </c>
      <c r="M256" s="6">
        <f t="shared" si="75"/>
        <v>6.93</v>
      </c>
      <c r="N256" s="6">
        <v>3.0459999999999998</v>
      </c>
      <c r="O256" s="5">
        <v>100</v>
      </c>
      <c r="P256"/>
      <c r="Q256" s="5">
        <v>1047</v>
      </c>
      <c r="R256" s="6">
        <f t="shared" si="76"/>
        <v>10.47</v>
      </c>
      <c r="S256" s="6">
        <v>3.1669999999999998</v>
      </c>
      <c r="T256" s="5">
        <v>100</v>
      </c>
      <c r="U256" s="5">
        <v>277</v>
      </c>
      <c r="V256" s="6">
        <f t="shared" si="77"/>
        <v>2.77</v>
      </c>
      <c r="W256" s="6">
        <v>2.0190000000000001</v>
      </c>
      <c r="X256" s="5">
        <v>100</v>
      </c>
      <c r="Z256" s="6">
        <f t="shared" si="78"/>
        <v>2.1125541125541125</v>
      </c>
      <c r="AA256" s="6">
        <f t="shared" si="79"/>
        <v>3.7797833935018055</v>
      </c>
      <c r="AB256" s="13">
        <f t="shared" si="80"/>
        <v>0.78920074569450216</v>
      </c>
      <c r="AC256" t="s">
        <v>31</v>
      </c>
      <c r="AE256" t="s">
        <v>584</v>
      </c>
      <c r="AF256" s="9">
        <v>0.38194444444444442</v>
      </c>
      <c r="AG256" s="9">
        <v>0.44444444444444442</v>
      </c>
      <c r="AH256" s="9">
        <f t="shared" si="72"/>
        <v>6.25E-2</v>
      </c>
      <c r="AI256" s="9">
        <f t="shared" si="73"/>
        <v>0.38194444444444442</v>
      </c>
      <c r="AJ256" s="9">
        <v>0.52083333333333337</v>
      </c>
      <c r="AK256" s="9">
        <f t="shared" si="70"/>
        <v>0.13888888888888895</v>
      </c>
      <c r="AM256" t="b">
        <v>1</v>
      </c>
    </row>
    <row r="257" spans="1:39" x14ac:dyDescent="0.3">
      <c r="A257" s="3" t="s">
        <v>578</v>
      </c>
      <c r="B257" t="s">
        <v>579</v>
      </c>
      <c r="C257" t="s">
        <v>29</v>
      </c>
      <c r="D257">
        <v>34</v>
      </c>
      <c r="E257" s="1">
        <v>31825</v>
      </c>
      <c r="F257" s="2">
        <v>44347.445023148146</v>
      </c>
      <c r="G257" t="s">
        <v>30</v>
      </c>
      <c r="H257" s="5">
        <v>1933</v>
      </c>
      <c r="I257" s="6">
        <f t="shared" si="74"/>
        <v>19.329999999999998</v>
      </c>
      <c r="J257" s="6">
        <v>5.35</v>
      </c>
      <c r="K257" s="5">
        <v>100</v>
      </c>
      <c r="L257" s="5">
        <v>926</v>
      </c>
      <c r="M257" s="6">
        <f t="shared" si="75"/>
        <v>9.26</v>
      </c>
      <c r="N257" s="6">
        <v>3.383</v>
      </c>
      <c r="O257" s="5">
        <v>100</v>
      </c>
      <c r="P257"/>
      <c r="Q257" s="5">
        <v>1385</v>
      </c>
      <c r="R257" s="6">
        <f t="shared" si="76"/>
        <v>13.98989898989899</v>
      </c>
      <c r="S257" s="6">
        <v>4.7839999999999998</v>
      </c>
      <c r="T257" s="5">
        <v>99</v>
      </c>
      <c r="U257" s="5">
        <v>368</v>
      </c>
      <c r="V257" s="6">
        <f t="shared" si="77"/>
        <v>3.7171717171717171</v>
      </c>
      <c r="W257" s="6">
        <v>1.9430000000000001</v>
      </c>
      <c r="X257" s="5">
        <v>99</v>
      </c>
      <c r="Z257" s="6">
        <f t="shared" si="78"/>
        <v>2.0874730021598271</v>
      </c>
      <c r="AA257" s="6">
        <f t="shared" si="79"/>
        <v>3.7635869565217392</v>
      </c>
      <c r="AB257" s="13">
        <f t="shared" si="80"/>
        <v>0.80293922490384417</v>
      </c>
      <c r="AC257" t="s">
        <v>31</v>
      </c>
      <c r="AE257" t="s">
        <v>582</v>
      </c>
      <c r="AF257" s="9">
        <v>0.37847222222222227</v>
      </c>
      <c r="AG257" s="9">
        <v>0.44444444444444442</v>
      </c>
      <c r="AH257" s="9">
        <f t="shared" si="72"/>
        <v>6.5972222222222154E-2</v>
      </c>
      <c r="AI257" s="9">
        <f t="shared" si="73"/>
        <v>0.37847222222222227</v>
      </c>
      <c r="AJ257" s="9">
        <v>0.52083333333333337</v>
      </c>
      <c r="AK257" s="9">
        <f t="shared" si="70"/>
        <v>0.1423611111111111</v>
      </c>
      <c r="AM257" t="b">
        <v>1</v>
      </c>
    </row>
    <row r="258" spans="1:39" x14ac:dyDescent="0.3">
      <c r="A258" s="3" t="s">
        <v>580</v>
      </c>
      <c r="B258" t="s">
        <v>581</v>
      </c>
      <c r="C258" t="s">
        <v>29</v>
      </c>
      <c r="D258">
        <v>52</v>
      </c>
      <c r="E258" s="1">
        <v>25176</v>
      </c>
      <c r="F258" s="2">
        <v>44347.428912037038</v>
      </c>
      <c r="G258" t="s">
        <v>30</v>
      </c>
      <c r="H258" s="5">
        <v>3388</v>
      </c>
      <c r="I258" s="6">
        <f t="shared" si="74"/>
        <v>33.880000000000003</v>
      </c>
      <c r="J258" s="6">
        <v>5.4610000000000003</v>
      </c>
      <c r="K258" s="5">
        <v>100</v>
      </c>
      <c r="L258" s="5">
        <v>1791</v>
      </c>
      <c r="M258" s="6">
        <f t="shared" si="75"/>
        <v>17.91</v>
      </c>
      <c r="N258" s="6">
        <v>4.2949999999999999</v>
      </c>
      <c r="O258" s="5">
        <v>100</v>
      </c>
      <c r="P258"/>
      <c r="Q258" s="5">
        <v>2211</v>
      </c>
      <c r="R258" s="6">
        <f t="shared" si="76"/>
        <v>22.333333333333332</v>
      </c>
      <c r="S258" s="6">
        <v>4.29</v>
      </c>
      <c r="T258" s="5">
        <v>99</v>
      </c>
      <c r="U258" s="5">
        <v>945</v>
      </c>
      <c r="V258" s="6">
        <f t="shared" si="77"/>
        <v>9.545454545454545</v>
      </c>
      <c r="W258" s="6">
        <v>3.2869999999999999</v>
      </c>
      <c r="X258" s="5">
        <v>99</v>
      </c>
      <c r="Z258" s="6">
        <f t="shared" si="78"/>
        <v>1.8916806253489671</v>
      </c>
      <c r="AA258" s="6">
        <f t="shared" si="79"/>
        <v>2.3396825396825398</v>
      </c>
      <c r="AB258" s="13">
        <f t="shared" si="80"/>
        <v>0.23682745825602974</v>
      </c>
      <c r="AC258" t="s">
        <v>40</v>
      </c>
      <c r="AE258" t="s">
        <v>582</v>
      </c>
      <c r="AF258" s="9">
        <v>0.38541666666666669</v>
      </c>
      <c r="AG258" s="9">
        <v>0.44444444444444442</v>
      </c>
      <c r="AH258" s="9">
        <f t="shared" si="72"/>
        <v>5.9027777777777735E-2</v>
      </c>
      <c r="AI258" s="9">
        <f t="shared" si="73"/>
        <v>0.38541666666666669</v>
      </c>
      <c r="AJ258" s="9">
        <v>0.52083333333333337</v>
      </c>
      <c r="AK258" s="9">
        <f t="shared" si="70"/>
        <v>0.13541666666666669</v>
      </c>
      <c r="AM258" t="b">
        <v>1</v>
      </c>
    </row>
    <row r="259" spans="1:39" x14ac:dyDescent="0.3">
      <c r="A259" s="3" t="s">
        <v>585</v>
      </c>
      <c r="B259" t="s">
        <v>586</v>
      </c>
      <c r="C259" t="s">
        <v>29</v>
      </c>
      <c r="D259">
        <v>65</v>
      </c>
      <c r="E259" s="1">
        <v>20477</v>
      </c>
      <c r="F259" s="2">
        <v>44348.442858796298</v>
      </c>
      <c r="G259" t="s">
        <v>30</v>
      </c>
      <c r="H259" s="5">
        <v>3850</v>
      </c>
      <c r="I259" s="6">
        <f t="shared" si="74"/>
        <v>38.888888888888886</v>
      </c>
      <c r="J259" s="6">
        <v>7.3</v>
      </c>
      <c r="K259" s="5">
        <v>99</v>
      </c>
      <c r="L259" s="5">
        <v>1182</v>
      </c>
      <c r="M259" s="6">
        <f t="shared" si="75"/>
        <v>11.939393939393939</v>
      </c>
      <c r="N259" s="6">
        <v>4.1909999999999998</v>
      </c>
      <c r="O259" s="5">
        <v>99</v>
      </c>
      <c r="P259"/>
      <c r="Q259" s="5">
        <v>2980</v>
      </c>
      <c r="R259" s="6">
        <f t="shared" si="76"/>
        <v>30.1010101010101</v>
      </c>
      <c r="S259" s="6">
        <v>6.07</v>
      </c>
      <c r="T259" s="5">
        <v>99</v>
      </c>
      <c r="U259" s="5">
        <v>522</v>
      </c>
      <c r="V259" s="6">
        <f t="shared" si="77"/>
        <v>5.2727272727272725</v>
      </c>
      <c r="W259" s="6">
        <v>2.3849999999999998</v>
      </c>
      <c r="X259" s="5">
        <v>99</v>
      </c>
      <c r="Z259" s="6">
        <f t="shared" si="78"/>
        <v>3.2571912013536375</v>
      </c>
      <c r="AA259" s="6">
        <f t="shared" si="79"/>
        <v>5.7088122605363987</v>
      </c>
      <c r="AB259" s="13">
        <f t="shared" ref="AB259:AB288" si="81">(AA259-Z259)/Z259</f>
        <v>0.75267950440364262</v>
      </c>
      <c r="AC259" t="s">
        <v>40</v>
      </c>
      <c r="AE259" t="s">
        <v>644</v>
      </c>
      <c r="AF259" s="9">
        <v>0.38680555555555557</v>
      </c>
      <c r="AG259" s="9">
        <v>0.44444444444444442</v>
      </c>
      <c r="AH259" s="9">
        <f t="shared" si="72"/>
        <v>5.7638888888888851E-2</v>
      </c>
      <c r="AI259" s="9">
        <f t="shared" si="73"/>
        <v>0.38680555555555557</v>
      </c>
      <c r="AJ259" s="9">
        <v>0.52916666666666667</v>
      </c>
      <c r="AK259" s="9">
        <f t="shared" si="70"/>
        <v>0.1423611111111111</v>
      </c>
      <c r="AM259" t="b">
        <v>1</v>
      </c>
    </row>
    <row r="260" spans="1:39" x14ac:dyDescent="0.3">
      <c r="A260" s="3" t="s">
        <v>587</v>
      </c>
      <c r="B260" t="s">
        <v>588</v>
      </c>
      <c r="C260" t="s">
        <v>29</v>
      </c>
      <c r="D260">
        <v>63</v>
      </c>
      <c r="E260" s="1">
        <v>21147</v>
      </c>
      <c r="F260" s="2">
        <v>44350.419895833336</v>
      </c>
      <c r="G260" t="s">
        <v>30</v>
      </c>
      <c r="H260" s="5">
        <v>1614</v>
      </c>
      <c r="I260" s="6">
        <f t="shared" si="74"/>
        <v>16.303030303030305</v>
      </c>
      <c r="J260" s="6">
        <v>4.4530000000000003</v>
      </c>
      <c r="K260" s="5">
        <v>99</v>
      </c>
      <c r="L260" s="5">
        <v>869</v>
      </c>
      <c r="M260" s="6">
        <f t="shared" si="75"/>
        <v>8.7777777777777786</v>
      </c>
      <c r="N260" s="6">
        <v>2.9159999999999999</v>
      </c>
      <c r="O260" s="5">
        <v>99</v>
      </c>
      <c r="P260"/>
      <c r="Q260" s="5">
        <v>916</v>
      </c>
      <c r="R260" s="6">
        <f t="shared" si="76"/>
        <v>9.2525252525252526</v>
      </c>
      <c r="S260" s="6">
        <v>3.3359999999999999</v>
      </c>
      <c r="T260" s="5">
        <v>99</v>
      </c>
      <c r="U260" s="5">
        <v>339</v>
      </c>
      <c r="V260" s="6">
        <f t="shared" si="77"/>
        <v>3.4242424242424243</v>
      </c>
      <c r="W260" s="6">
        <v>1.768</v>
      </c>
      <c r="X260" s="5">
        <v>99</v>
      </c>
      <c r="Z260" s="6">
        <f t="shared" si="78"/>
        <v>1.8573072497123131</v>
      </c>
      <c r="AA260" s="6">
        <f t="shared" si="79"/>
        <v>2.7020648967551621</v>
      </c>
      <c r="AB260" s="13">
        <f t="shared" si="81"/>
        <v>0.45482924118973717</v>
      </c>
      <c r="AC260" t="s">
        <v>31</v>
      </c>
      <c r="AE260" t="s">
        <v>644</v>
      </c>
      <c r="AF260" s="9">
        <v>0.3659722222222222</v>
      </c>
      <c r="AG260" s="9">
        <v>0.44444444444444442</v>
      </c>
      <c r="AH260" s="9">
        <f t="shared" si="72"/>
        <v>7.8472222222222221E-2</v>
      </c>
      <c r="AI260" s="9">
        <f t="shared" si="73"/>
        <v>0.3659722222222222</v>
      </c>
      <c r="AJ260" s="9">
        <v>0.52083333333333337</v>
      </c>
      <c r="AK260" s="9">
        <f t="shared" si="70"/>
        <v>0.15486111111111117</v>
      </c>
      <c r="AM260" t="b">
        <v>1</v>
      </c>
    </row>
    <row r="261" spans="1:39" x14ac:dyDescent="0.3">
      <c r="A261" s="3" t="s">
        <v>589</v>
      </c>
      <c r="B261" t="s">
        <v>590</v>
      </c>
      <c r="C261" t="s">
        <v>29</v>
      </c>
      <c r="D261">
        <v>52</v>
      </c>
      <c r="E261" s="1">
        <v>25257</v>
      </c>
      <c r="F261" s="2">
        <v>44351.449293981481</v>
      </c>
      <c r="G261" t="s">
        <v>30</v>
      </c>
      <c r="H261" s="5">
        <v>1664</v>
      </c>
      <c r="I261" s="6">
        <f t="shared" si="74"/>
        <v>16.80808080808081</v>
      </c>
      <c r="J261" s="6">
        <v>4.6219999999999999</v>
      </c>
      <c r="K261" s="5">
        <v>99</v>
      </c>
      <c r="L261" s="5">
        <v>1099</v>
      </c>
      <c r="M261" s="6">
        <f t="shared" si="75"/>
        <v>11.1010101010101</v>
      </c>
      <c r="N261" s="6">
        <v>3.1739999999999999</v>
      </c>
      <c r="O261" s="5">
        <v>99</v>
      </c>
      <c r="P261"/>
      <c r="Q261" s="5">
        <v>1084</v>
      </c>
      <c r="R261" s="6">
        <f t="shared" si="76"/>
        <v>10.84</v>
      </c>
      <c r="S261" s="6">
        <v>3.887</v>
      </c>
      <c r="T261" s="5">
        <v>100</v>
      </c>
      <c r="U261" s="5">
        <v>399</v>
      </c>
      <c r="V261" s="6">
        <f t="shared" si="77"/>
        <v>3.99</v>
      </c>
      <c r="W261" s="6">
        <v>2.149</v>
      </c>
      <c r="X261" s="5">
        <v>100</v>
      </c>
      <c r="Z261" s="6">
        <f t="shared" si="78"/>
        <v>1.5141037306642404</v>
      </c>
      <c r="AA261" s="6">
        <f t="shared" si="79"/>
        <v>2.7167919799498743</v>
      </c>
      <c r="AB261" s="13">
        <f t="shared" si="81"/>
        <v>0.79432354925775928</v>
      </c>
      <c r="AC261" t="s">
        <v>31</v>
      </c>
      <c r="AE261" t="s">
        <v>645</v>
      </c>
      <c r="AF261" s="9">
        <v>0.39583333333333331</v>
      </c>
      <c r="AG261" s="9">
        <v>0.44444444444444442</v>
      </c>
      <c r="AH261" s="9">
        <f t="shared" si="72"/>
        <v>4.8611111111111105E-2</v>
      </c>
      <c r="AI261" s="9">
        <f t="shared" si="73"/>
        <v>0.39583333333333331</v>
      </c>
      <c r="AJ261" s="9">
        <v>0.53472222222222221</v>
      </c>
      <c r="AK261" s="9">
        <f t="shared" si="70"/>
        <v>0.1388888888888889</v>
      </c>
      <c r="AM261" t="b">
        <v>1</v>
      </c>
    </row>
    <row r="262" spans="1:39" x14ac:dyDescent="0.3">
      <c r="A262" s="3" t="s">
        <v>591</v>
      </c>
      <c r="B262" t="s">
        <v>592</v>
      </c>
      <c r="C262" t="s">
        <v>29</v>
      </c>
      <c r="D262">
        <v>58</v>
      </c>
      <c r="E262" s="1">
        <v>23096</v>
      </c>
      <c r="F262" s="2">
        <v>44351.433796296296</v>
      </c>
      <c r="G262" t="s">
        <v>30</v>
      </c>
      <c r="H262" s="5">
        <v>2404</v>
      </c>
      <c r="I262" s="6">
        <f t="shared" si="74"/>
        <v>24.04</v>
      </c>
      <c r="J262" s="6">
        <v>1.7969999999999999</v>
      </c>
      <c r="K262" s="5">
        <v>100</v>
      </c>
      <c r="L262" s="5">
        <v>847</v>
      </c>
      <c r="M262" s="6">
        <f t="shared" si="75"/>
        <v>8.4700000000000006</v>
      </c>
      <c r="N262" s="6">
        <v>1.4319999999999999</v>
      </c>
      <c r="O262" s="5">
        <v>100</v>
      </c>
      <c r="P262"/>
      <c r="Q262" s="5">
        <v>1711</v>
      </c>
      <c r="R262" s="6">
        <f t="shared" si="76"/>
        <v>17.282828282828284</v>
      </c>
      <c r="S262" s="6">
        <v>1.901</v>
      </c>
      <c r="T262" s="5">
        <v>99</v>
      </c>
      <c r="U262" s="5">
        <v>304</v>
      </c>
      <c r="V262" s="6">
        <f t="shared" si="77"/>
        <v>3.0707070707070705</v>
      </c>
      <c r="W262" s="7">
        <v>0.53900000000000003</v>
      </c>
      <c r="X262" s="5">
        <v>99</v>
      </c>
      <c r="Z262" s="6">
        <f t="shared" si="78"/>
        <v>2.8382526564344741</v>
      </c>
      <c r="AA262" s="6">
        <f t="shared" si="79"/>
        <v>5.6282894736842115</v>
      </c>
      <c r="AB262" s="13">
        <f t="shared" si="81"/>
        <v>0.98301213985462899</v>
      </c>
      <c r="AC262" t="s">
        <v>39</v>
      </c>
      <c r="AE262" t="s">
        <v>644</v>
      </c>
      <c r="AF262" s="9">
        <v>0.38472222222222219</v>
      </c>
      <c r="AG262" s="9">
        <v>0.44444444444444442</v>
      </c>
      <c r="AH262" s="9">
        <f t="shared" si="72"/>
        <v>5.9722222222222232E-2</v>
      </c>
      <c r="AI262" s="9">
        <f t="shared" si="73"/>
        <v>0.38472222222222219</v>
      </c>
      <c r="AJ262" s="9">
        <v>0.51736111111111105</v>
      </c>
      <c r="AK262" s="9">
        <f t="shared" si="70"/>
        <v>0.13263888888888886</v>
      </c>
      <c r="AM262" t="b">
        <v>1</v>
      </c>
    </row>
    <row r="263" spans="1:39" x14ac:dyDescent="0.3">
      <c r="A263" s="3" t="s">
        <v>593</v>
      </c>
      <c r="B263" t="s">
        <v>594</v>
      </c>
      <c r="C263" t="s">
        <v>29</v>
      </c>
      <c r="D263">
        <v>49</v>
      </c>
      <c r="E263" s="1">
        <v>26361</v>
      </c>
      <c r="F263" s="2">
        <v>44354.444537037038</v>
      </c>
      <c r="G263" t="s">
        <v>30</v>
      </c>
      <c r="H263" s="5">
        <v>1976</v>
      </c>
      <c r="I263" s="6">
        <f t="shared" si="74"/>
        <v>19.959595959595958</v>
      </c>
      <c r="J263" s="6">
        <v>4.944</v>
      </c>
      <c r="K263" s="5">
        <v>99</v>
      </c>
      <c r="L263" s="5">
        <v>929</v>
      </c>
      <c r="M263" s="6">
        <f t="shared" si="75"/>
        <v>9.3838383838383841</v>
      </c>
      <c r="N263" s="6">
        <v>2.9609999999999999</v>
      </c>
      <c r="O263" s="5">
        <v>99</v>
      </c>
      <c r="P263"/>
      <c r="Q263" s="5">
        <v>1242</v>
      </c>
      <c r="R263" s="6">
        <f t="shared" si="76"/>
        <v>12.545454545454545</v>
      </c>
      <c r="S263" s="6">
        <v>3.609</v>
      </c>
      <c r="T263" s="5">
        <v>99</v>
      </c>
      <c r="U263" s="5">
        <v>312</v>
      </c>
      <c r="V263" s="6">
        <f t="shared" si="77"/>
        <v>3.1515151515151514</v>
      </c>
      <c r="W263" s="7">
        <v>1.587</v>
      </c>
      <c r="X263" s="5">
        <v>99</v>
      </c>
      <c r="Z263" s="6">
        <f t="shared" si="78"/>
        <v>2.1270182992465014</v>
      </c>
      <c r="AA263" s="6">
        <f t="shared" si="79"/>
        <v>3.9807692307692308</v>
      </c>
      <c r="AB263" s="13">
        <f t="shared" si="81"/>
        <v>0.87152561507318616</v>
      </c>
      <c r="AC263" t="s">
        <v>31</v>
      </c>
      <c r="AE263" t="s">
        <v>645</v>
      </c>
      <c r="AF263" s="9">
        <v>0.39513888888888887</v>
      </c>
      <c r="AG263" s="9">
        <v>0.44444444444444442</v>
      </c>
      <c r="AH263" s="9">
        <f t="shared" si="72"/>
        <v>4.9305555555555547E-2</v>
      </c>
      <c r="AI263" s="9">
        <f t="shared" si="73"/>
        <v>0.39513888888888887</v>
      </c>
      <c r="AJ263" s="9">
        <v>0.54861111111111105</v>
      </c>
      <c r="AK263" s="9">
        <f t="shared" si="70"/>
        <v>0.15347222222222218</v>
      </c>
      <c r="AM263" t="b">
        <v>1</v>
      </c>
    </row>
    <row r="264" spans="1:39" x14ac:dyDescent="0.3">
      <c r="A264" s="3" t="s">
        <v>595</v>
      </c>
      <c r="B264" t="s">
        <v>536</v>
      </c>
      <c r="C264" t="s">
        <v>29</v>
      </c>
      <c r="D264">
        <v>56</v>
      </c>
      <c r="E264" s="1">
        <v>23653</v>
      </c>
      <c r="F264" s="2">
        <v>44355.439085648148</v>
      </c>
      <c r="G264" t="s">
        <v>30</v>
      </c>
      <c r="H264" s="5">
        <v>2569</v>
      </c>
      <c r="I264" s="6">
        <f t="shared" si="74"/>
        <v>25.69</v>
      </c>
      <c r="J264" s="6">
        <v>5.0039999999999996</v>
      </c>
      <c r="K264" s="5">
        <v>100</v>
      </c>
      <c r="L264" s="5">
        <v>1239</v>
      </c>
      <c r="M264" s="6">
        <f t="shared" si="75"/>
        <v>12.39</v>
      </c>
      <c r="N264" s="6">
        <v>3.5840000000000001</v>
      </c>
      <c r="O264" s="5">
        <v>100</v>
      </c>
      <c r="P264"/>
      <c r="Q264" s="5">
        <v>1846</v>
      </c>
      <c r="R264" s="6">
        <f t="shared" si="76"/>
        <v>18.646464646464647</v>
      </c>
      <c r="S264" s="6">
        <v>4.42</v>
      </c>
      <c r="T264" s="5">
        <v>99</v>
      </c>
      <c r="U264" s="5">
        <v>568</v>
      </c>
      <c r="V264" s="6">
        <f t="shared" si="77"/>
        <v>5.737373737373737</v>
      </c>
      <c r="W264" s="7">
        <v>2.7090000000000001</v>
      </c>
      <c r="X264" s="5">
        <v>99</v>
      </c>
      <c r="Z264" s="6">
        <f t="shared" si="78"/>
        <v>2.0734463276836159</v>
      </c>
      <c r="AA264" s="6">
        <f t="shared" si="79"/>
        <v>3.2500000000000004</v>
      </c>
      <c r="AB264" s="13">
        <f t="shared" si="81"/>
        <v>0.56743869209809283</v>
      </c>
      <c r="AC264" t="s">
        <v>40</v>
      </c>
      <c r="AE264" t="s">
        <v>644</v>
      </c>
      <c r="AF264" s="9">
        <v>0.37847222222222227</v>
      </c>
      <c r="AG264" s="9">
        <v>0.44444444444444442</v>
      </c>
      <c r="AH264" s="9">
        <f t="shared" si="72"/>
        <v>6.5972222222222154E-2</v>
      </c>
      <c r="AI264" s="9">
        <f t="shared" si="73"/>
        <v>0.37847222222222227</v>
      </c>
      <c r="AJ264" s="9">
        <v>0.51874999999999993</v>
      </c>
      <c r="AK264" s="9">
        <f t="shared" si="70"/>
        <v>0.14027777777777767</v>
      </c>
      <c r="AM264" t="b">
        <v>1</v>
      </c>
    </row>
    <row r="265" spans="1:39" x14ac:dyDescent="0.3">
      <c r="A265" s="3" t="s">
        <v>596</v>
      </c>
      <c r="B265" t="s">
        <v>597</v>
      </c>
      <c r="C265" t="s">
        <v>29</v>
      </c>
      <c r="D265">
        <v>65</v>
      </c>
      <c r="E265" s="1">
        <v>20294</v>
      </c>
      <c r="F265" s="2">
        <v>44356.444606481484</v>
      </c>
      <c r="G265" t="s">
        <v>30</v>
      </c>
      <c r="H265" s="5">
        <v>2079</v>
      </c>
      <c r="I265" s="6">
        <f t="shared" si="74"/>
        <v>21</v>
      </c>
      <c r="J265" s="6">
        <v>5.33</v>
      </c>
      <c r="K265" s="5">
        <v>99</v>
      </c>
      <c r="L265" s="5">
        <v>1190</v>
      </c>
      <c r="M265" s="6">
        <f t="shared" si="75"/>
        <v>12.020202020202021</v>
      </c>
      <c r="N265" s="6">
        <v>3.3069999999999999</v>
      </c>
      <c r="O265" s="5">
        <v>99</v>
      </c>
      <c r="P265"/>
      <c r="Q265" s="5">
        <v>1505</v>
      </c>
      <c r="R265" s="6">
        <f t="shared" si="76"/>
        <v>15.05</v>
      </c>
      <c r="S265" s="6">
        <v>3.6720000000000002</v>
      </c>
      <c r="T265" s="5">
        <v>100</v>
      </c>
      <c r="U265" s="5">
        <v>462</v>
      </c>
      <c r="V265" s="6">
        <f t="shared" si="77"/>
        <v>4.62</v>
      </c>
      <c r="W265" s="6">
        <v>2.145</v>
      </c>
      <c r="X265" s="5">
        <v>100</v>
      </c>
      <c r="Z265" s="6">
        <f t="shared" si="78"/>
        <v>1.7470588235294118</v>
      </c>
      <c r="AA265" s="6">
        <f t="shared" si="79"/>
        <v>3.2575757575757578</v>
      </c>
      <c r="AB265" s="13">
        <f t="shared" si="81"/>
        <v>0.86460565248444043</v>
      </c>
      <c r="AC265" t="s">
        <v>31</v>
      </c>
      <c r="AE265" t="s">
        <v>645</v>
      </c>
      <c r="AF265" s="9">
        <v>0.39930555555555558</v>
      </c>
      <c r="AG265" s="9">
        <v>0.44444444444444442</v>
      </c>
      <c r="AH265" s="9">
        <f t="shared" si="72"/>
        <v>4.513888888888884E-2</v>
      </c>
      <c r="AI265" s="9">
        <f t="shared" si="73"/>
        <v>0.39930555555555558</v>
      </c>
      <c r="AJ265" s="9">
        <v>0.53472222222222221</v>
      </c>
      <c r="AK265" s="9">
        <f t="shared" si="70"/>
        <v>0.13541666666666663</v>
      </c>
      <c r="AM265" t="b">
        <v>1</v>
      </c>
    </row>
    <row r="266" spans="1:39" x14ac:dyDescent="0.3">
      <c r="A266" s="3" t="s">
        <v>598</v>
      </c>
      <c r="B266" t="s">
        <v>599</v>
      </c>
      <c r="C266" t="s">
        <v>29</v>
      </c>
      <c r="D266">
        <v>52</v>
      </c>
      <c r="E266" s="1">
        <v>25208</v>
      </c>
      <c r="F266" s="2">
        <v>44357.438645833332</v>
      </c>
      <c r="G266" t="s">
        <v>30</v>
      </c>
      <c r="H266" s="5">
        <v>2083</v>
      </c>
      <c r="I266" s="6">
        <f t="shared" si="74"/>
        <v>21.040404040404042</v>
      </c>
      <c r="J266" s="6">
        <v>4.819</v>
      </c>
      <c r="K266" s="5">
        <v>99</v>
      </c>
      <c r="L266" s="5">
        <v>633</v>
      </c>
      <c r="M266" s="6">
        <f t="shared" si="75"/>
        <v>6.3939393939393936</v>
      </c>
      <c r="N266" s="6">
        <v>2.5710000000000002</v>
      </c>
      <c r="O266" s="5">
        <v>99</v>
      </c>
      <c r="P266"/>
      <c r="Q266" s="5">
        <v>1652</v>
      </c>
      <c r="R266" s="6">
        <f t="shared" si="76"/>
        <v>16.52</v>
      </c>
      <c r="S266" s="6">
        <v>5.383</v>
      </c>
      <c r="T266" s="5">
        <v>100</v>
      </c>
      <c r="U266" s="5">
        <v>264</v>
      </c>
      <c r="V266" s="6">
        <f t="shared" si="77"/>
        <v>2.64</v>
      </c>
      <c r="W266" s="6">
        <v>1.5009999999999999</v>
      </c>
      <c r="X266" s="5">
        <v>100</v>
      </c>
      <c r="Z266" s="6">
        <f t="shared" si="78"/>
        <v>3.2906793048973149</v>
      </c>
      <c r="AA266" s="6">
        <f t="shared" si="79"/>
        <v>6.2575757575757569</v>
      </c>
      <c r="AB266" s="13">
        <f t="shared" si="81"/>
        <v>0.90160607515384228</v>
      </c>
      <c r="AC266" t="s">
        <v>31</v>
      </c>
      <c r="AE266" t="s">
        <v>645</v>
      </c>
      <c r="AF266" s="9">
        <v>0.3756944444444445</v>
      </c>
      <c r="AG266" s="9">
        <v>0.44444444444444442</v>
      </c>
      <c r="AH266" s="9">
        <f t="shared" si="72"/>
        <v>6.8749999999999922E-2</v>
      </c>
      <c r="AI266" s="9">
        <f t="shared" si="73"/>
        <v>0.3756944444444445</v>
      </c>
      <c r="AJ266" s="9">
        <v>0.52083333333333337</v>
      </c>
      <c r="AK266" s="9">
        <f t="shared" si="70"/>
        <v>0.14513888888888887</v>
      </c>
      <c r="AM266" t="b">
        <v>1</v>
      </c>
    </row>
    <row r="267" spans="1:39" x14ac:dyDescent="0.3">
      <c r="A267" s="3" t="s">
        <v>600</v>
      </c>
      <c r="B267" t="s">
        <v>601</v>
      </c>
      <c r="C267" t="s">
        <v>29</v>
      </c>
      <c r="D267">
        <v>56</v>
      </c>
      <c r="E267" s="1">
        <v>23879</v>
      </c>
      <c r="F267" s="2">
        <v>44357.432037037041</v>
      </c>
      <c r="G267" t="s">
        <v>30</v>
      </c>
      <c r="H267" s="5">
        <v>1822</v>
      </c>
      <c r="I267" s="6">
        <f t="shared" si="74"/>
        <v>18.22</v>
      </c>
      <c r="J267" s="6">
        <v>1.2030000000000001</v>
      </c>
      <c r="K267" s="5">
        <v>100</v>
      </c>
      <c r="L267" s="5">
        <v>819</v>
      </c>
      <c r="M267" s="6">
        <f t="shared" si="75"/>
        <v>8.19</v>
      </c>
      <c r="N267" s="6">
        <v>1.0980000000000001</v>
      </c>
      <c r="O267" s="5">
        <v>100</v>
      </c>
      <c r="P267"/>
      <c r="Q267" s="5">
        <v>1228</v>
      </c>
      <c r="R267" s="6">
        <f t="shared" si="76"/>
        <v>12.404040404040405</v>
      </c>
      <c r="S267" s="6">
        <v>1.4139999999999999</v>
      </c>
      <c r="T267" s="5">
        <v>99</v>
      </c>
      <c r="U267" s="5">
        <v>356</v>
      </c>
      <c r="V267" s="6">
        <f t="shared" si="77"/>
        <v>3.595959595959596</v>
      </c>
      <c r="W267" s="6">
        <v>0.51300000000000001</v>
      </c>
      <c r="X267" s="5">
        <v>99</v>
      </c>
      <c r="Z267" s="6">
        <f t="shared" si="78"/>
        <v>2.2246642246642248</v>
      </c>
      <c r="AA267" s="6">
        <f t="shared" si="79"/>
        <v>3.4494382022471912</v>
      </c>
      <c r="AB267" s="13">
        <f t="shared" si="81"/>
        <v>0.55054329727796347</v>
      </c>
      <c r="AC267" t="s">
        <v>39</v>
      </c>
      <c r="AE267" t="s">
        <v>644</v>
      </c>
      <c r="AF267" s="9">
        <v>0.37916666666666665</v>
      </c>
      <c r="AG267" s="9">
        <v>0.44444444444444442</v>
      </c>
      <c r="AH267" s="9">
        <f t="shared" si="72"/>
        <v>6.5277777777777768E-2</v>
      </c>
      <c r="AI267" s="9">
        <f t="shared" si="73"/>
        <v>0.37916666666666665</v>
      </c>
      <c r="AJ267" s="9">
        <v>0.51736111111111105</v>
      </c>
      <c r="AK267" s="9">
        <f t="shared" si="70"/>
        <v>0.1381944444444444</v>
      </c>
      <c r="AM267" t="b">
        <v>1</v>
      </c>
    </row>
    <row r="268" spans="1:39" x14ac:dyDescent="0.3">
      <c r="A268" s="3" t="s">
        <v>602</v>
      </c>
      <c r="B268" t="s">
        <v>603</v>
      </c>
      <c r="C268" t="s">
        <v>29</v>
      </c>
      <c r="D268">
        <v>57</v>
      </c>
      <c r="E268" s="1">
        <v>23408</v>
      </c>
      <c r="F268" s="2">
        <v>44358.441770833335</v>
      </c>
      <c r="G268" t="s">
        <v>30</v>
      </c>
      <c r="H268" s="5">
        <v>2613</v>
      </c>
      <c r="I268" s="6">
        <f t="shared" si="74"/>
        <v>26.393939393939394</v>
      </c>
      <c r="J268" s="6">
        <v>6.1479999999999997</v>
      </c>
      <c r="K268" s="5">
        <v>99</v>
      </c>
      <c r="L268" s="5">
        <v>843</v>
      </c>
      <c r="M268" s="6">
        <f t="shared" si="75"/>
        <v>8.5151515151515156</v>
      </c>
      <c r="N268" s="6">
        <v>2.8330000000000002</v>
      </c>
      <c r="O268" s="5">
        <v>99</v>
      </c>
      <c r="P268"/>
      <c r="Q268" s="5">
        <v>1840</v>
      </c>
      <c r="R268" s="6">
        <f t="shared" si="76"/>
        <v>18.585858585858585</v>
      </c>
      <c r="S268" s="6">
        <v>5.2590000000000003</v>
      </c>
      <c r="T268" s="5">
        <v>99</v>
      </c>
      <c r="U268" s="5">
        <v>333</v>
      </c>
      <c r="V268" s="6">
        <f t="shared" si="77"/>
        <v>3.3636363636363638</v>
      </c>
      <c r="W268" s="7">
        <v>1.956</v>
      </c>
      <c r="X268" s="5">
        <v>99</v>
      </c>
      <c r="Z268" s="6">
        <f t="shared" si="78"/>
        <v>3.0996441281138791</v>
      </c>
      <c r="AA268" s="6">
        <f t="shared" si="79"/>
        <v>5.5255255255255253</v>
      </c>
      <c r="AB268" s="13">
        <f t="shared" si="81"/>
        <v>0.78263223039342433</v>
      </c>
      <c r="AC268" t="s">
        <v>31</v>
      </c>
      <c r="AE268" t="s">
        <v>644</v>
      </c>
      <c r="AF268" s="9">
        <v>0.38125000000000003</v>
      </c>
      <c r="AG268" s="9">
        <v>0.44444444444444442</v>
      </c>
      <c r="AH268" s="9">
        <f t="shared" si="72"/>
        <v>6.3194444444444386E-2</v>
      </c>
      <c r="AI268" s="9">
        <f t="shared" si="73"/>
        <v>0.38125000000000003</v>
      </c>
      <c r="AJ268" s="9">
        <v>0.52083333333333337</v>
      </c>
      <c r="AK268" s="9">
        <f t="shared" si="70"/>
        <v>0.13958333333333334</v>
      </c>
      <c r="AM268" t="b">
        <v>1</v>
      </c>
    </row>
    <row r="269" spans="1:39" x14ac:dyDescent="0.3">
      <c r="A269" s="3" t="s">
        <v>604</v>
      </c>
      <c r="B269" t="s">
        <v>605</v>
      </c>
      <c r="C269" t="s">
        <v>29</v>
      </c>
      <c r="D269">
        <v>52</v>
      </c>
      <c r="E269" s="1">
        <v>25249</v>
      </c>
      <c r="F269" s="2">
        <v>44362.43482638889</v>
      </c>
      <c r="G269" t="s">
        <v>30</v>
      </c>
      <c r="H269" s="5">
        <v>3329</v>
      </c>
      <c r="I269" s="6">
        <f t="shared" si="74"/>
        <v>33.626262626262623</v>
      </c>
      <c r="J269" s="6">
        <v>6.165</v>
      </c>
      <c r="K269" s="5">
        <v>99</v>
      </c>
      <c r="L269" s="5">
        <v>776</v>
      </c>
      <c r="M269" s="6">
        <f t="shared" si="75"/>
        <v>7.8383838383838382</v>
      </c>
      <c r="N269" s="6">
        <v>3.093</v>
      </c>
      <c r="O269" s="5">
        <v>99</v>
      </c>
      <c r="P269"/>
      <c r="Q269" s="5">
        <v>2407</v>
      </c>
      <c r="R269" s="6">
        <f t="shared" si="76"/>
        <v>24.313131313131311</v>
      </c>
      <c r="S269" s="6">
        <v>5.0540000000000003</v>
      </c>
      <c r="T269" s="5">
        <v>99</v>
      </c>
      <c r="U269" s="5">
        <v>342</v>
      </c>
      <c r="V269" s="6">
        <f t="shared" si="77"/>
        <v>3.4545454545454546</v>
      </c>
      <c r="W269" s="7">
        <v>2.2050000000000001</v>
      </c>
      <c r="X269" s="5">
        <v>99</v>
      </c>
      <c r="Z269" s="6">
        <f t="shared" si="78"/>
        <v>4.2899484536082468</v>
      </c>
      <c r="AA269" s="6">
        <f t="shared" si="79"/>
        <v>7.0380116959064321</v>
      </c>
      <c r="AB269" s="13">
        <f t="shared" si="81"/>
        <v>0.64058187925004262</v>
      </c>
      <c r="AC269" t="s">
        <v>40</v>
      </c>
      <c r="AE269" t="s">
        <v>644</v>
      </c>
      <c r="AF269" s="9">
        <v>0.37083333333333335</v>
      </c>
      <c r="AG269" s="9">
        <v>0.44444444444444442</v>
      </c>
      <c r="AH269" s="9">
        <f t="shared" si="72"/>
        <v>7.3611111111111072E-2</v>
      </c>
      <c r="AI269" s="9">
        <f t="shared" si="73"/>
        <v>0.37083333333333335</v>
      </c>
      <c r="AJ269" s="9">
        <v>0.52083333333333337</v>
      </c>
      <c r="AK269" s="9">
        <f t="shared" ref="AK269:AK288" si="82">AJ269-AI269</f>
        <v>0.15000000000000002</v>
      </c>
      <c r="AM269" t="b">
        <v>1</v>
      </c>
    </row>
    <row r="270" spans="1:39" x14ac:dyDescent="0.3">
      <c r="A270" s="3" t="s">
        <v>606</v>
      </c>
      <c r="B270" t="s">
        <v>607</v>
      </c>
      <c r="C270" t="s">
        <v>29</v>
      </c>
      <c r="D270">
        <v>55</v>
      </c>
      <c r="E270" s="1">
        <v>23963</v>
      </c>
      <c r="F270" s="2">
        <v>44362.390729166669</v>
      </c>
      <c r="G270" t="s">
        <v>30</v>
      </c>
      <c r="H270" s="5">
        <v>2308</v>
      </c>
      <c r="I270" s="6">
        <f t="shared" si="74"/>
        <v>23.313131313131311</v>
      </c>
      <c r="J270" s="6">
        <v>1.085</v>
      </c>
      <c r="K270" s="5">
        <v>99</v>
      </c>
      <c r="L270" s="5">
        <v>879</v>
      </c>
      <c r="M270" s="6">
        <f t="shared" si="75"/>
        <v>8.8787878787878789</v>
      </c>
      <c r="N270" s="6">
        <v>1.0329999999999999</v>
      </c>
      <c r="O270" s="5">
        <v>99</v>
      </c>
      <c r="P270"/>
      <c r="Q270" s="5">
        <v>1683</v>
      </c>
      <c r="R270" s="6">
        <f t="shared" si="76"/>
        <v>16.829999999999998</v>
      </c>
      <c r="S270" s="6">
        <v>1.464</v>
      </c>
      <c r="T270" s="5">
        <v>100</v>
      </c>
      <c r="U270" s="5">
        <v>291</v>
      </c>
      <c r="V270" s="6">
        <f t="shared" si="77"/>
        <v>2.91</v>
      </c>
      <c r="W270" s="6">
        <v>0.83</v>
      </c>
      <c r="X270" s="5">
        <v>100</v>
      </c>
      <c r="Z270" s="6">
        <f t="shared" si="78"/>
        <v>2.6257110352673489</v>
      </c>
      <c r="AA270" s="6">
        <f t="shared" si="79"/>
        <v>5.7835051546391743</v>
      </c>
      <c r="AB270" s="13">
        <f t="shared" si="81"/>
        <v>1.2026434276117135</v>
      </c>
      <c r="AC270" t="s">
        <v>39</v>
      </c>
      <c r="AE270" t="s">
        <v>645</v>
      </c>
      <c r="AF270" s="9">
        <v>0.37708333333333338</v>
      </c>
      <c r="AG270" s="9">
        <v>0.44444444444444442</v>
      </c>
      <c r="AH270" s="9">
        <f t="shared" si="72"/>
        <v>6.7361111111111038E-2</v>
      </c>
      <c r="AI270" s="9">
        <f t="shared" si="73"/>
        <v>0.37708333333333338</v>
      </c>
      <c r="AJ270" s="9">
        <v>0.52083333333333337</v>
      </c>
      <c r="AK270" s="9">
        <f t="shared" si="82"/>
        <v>0.14374999999999999</v>
      </c>
      <c r="AM270" t="b">
        <v>1</v>
      </c>
    </row>
    <row r="271" spans="1:39" x14ac:dyDescent="0.3">
      <c r="A271" s="3" t="s">
        <v>608</v>
      </c>
      <c r="B271" t="s">
        <v>609</v>
      </c>
      <c r="C271" t="s">
        <v>29</v>
      </c>
      <c r="D271">
        <v>52</v>
      </c>
      <c r="E271" s="1">
        <v>25101</v>
      </c>
      <c r="F271" s="2">
        <v>44363.44263888889</v>
      </c>
      <c r="G271" t="s">
        <v>30</v>
      </c>
      <c r="H271" s="5">
        <v>2420</v>
      </c>
      <c r="I271" s="6">
        <f t="shared" si="74"/>
        <v>24.2</v>
      </c>
      <c r="J271" s="6">
        <v>4.5190000000000001</v>
      </c>
      <c r="K271" s="5">
        <v>100</v>
      </c>
      <c r="L271" s="5">
        <v>1305</v>
      </c>
      <c r="M271" s="6">
        <f t="shared" si="75"/>
        <v>13.05</v>
      </c>
      <c r="N271" s="6">
        <v>3.0990000000000002</v>
      </c>
      <c r="O271" s="5">
        <v>100</v>
      </c>
      <c r="P271"/>
      <c r="Q271" s="5">
        <v>1301</v>
      </c>
      <c r="R271" s="6">
        <f t="shared" si="76"/>
        <v>13.141414141414142</v>
      </c>
      <c r="S271" s="6">
        <v>4.5090000000000003</v>
      </c>
      <c r="T271" s="5">
        <v>99</v>
      </c>
      <c r="U271" s="5">
        <v>511</v>
      </c>
      <c r="V271" s="6">
        <f t="shared" si="77"/>
        <v>5.1616161616161618</v>
      </c>
      <c r="W271" s="6">
        <v>2.5019999999999998</v>
      </c>
      <c r="X271" s="5">
        <v>99</v>
      </c>
      <c r="Z271" s="6">
        <f t="shared" si="78"/>
        <v>1.8544061302681991</v>
      </c>
      <c r="AA271" s="6">
        <f t="shared" si="79"/>
        <v>2.5459882583170255</v>
      </c>
      <c r="AB271" s="13">
        <f t="shared" si="81"/>
        <v>0.3729399492164126</v>
      </c>
      <c r="AC271" t="s">
        <v>31</v>
      </c>
      <c r="AE271" t="s">
        <v>644</v>
      </c>
      <c r="AF271" s="9">
        <v>0.38541666666666669</v>
      </c>
      <c r="AG271" s="9">
        <v>0.44444444444444442</v>
      </c>
      <c r="AH271" s="9">
        <f t="shared" si="72"/>
        <v>5.9027777777777735E-2</v>
      </c>
      <c r="AI271" s="9">
        <f t="shared" si="73"/>
        <v>0.38541666666666669</v>
      </c>
      <c r="AJ271" s="9">
        <v>0.53472222222222221</v>
      </c>
      <c r="AK271" s="9">
        <f t="shared" si="82"/>
        <v>0.14930555555555552</v>
      </c>
      <c r="AM271" t="b">
        <v>1</v>
      </c>
    </row>
    <row r="272" spans="1:39" x14ac:dyDescent="0.3">
      <c r="A272" s="3" t="s">
        <v>610</v>
      </c>
      <c r="B272" t="s">
        <v>611</v>
      </c>
      <c r="C272" t="s">
        <v>29</v>
      </c>
      <c r="D272">
        <v>54</v>
      </c>
      <c r="E272" s="1">
        <v>24500</v>
      </c>
      <c r="F272" s="2">
        <v>44363.427754629629</v>
      </c>
      <c r="G272" t="s">
        <v>30</v>
      </c>
      <c r="H272" s="5">
        <v>4499</v>
      </c>
      <c r="I272" s="6">
        <f t="shared" si="74"/>
        <v>44.99</v>
      </c>
      <c r="J272" s="6">
        <v>6.5359999999999996</v>
      </c>
      <c r="K272" s="5">
        <v>100</v>
      </c>
      <c r="L272" s="5">
        <v>2108</v>
      </c>
      <c r="M272" s="6">
        <f t="shared" si="75"/>
        <v>21.08</v>
      </c>
      <c r="N272" s="6">
        <v>5.14</v>
      </c>
      <c r="O272" s="5">
        <v>100</v>
      </c>
      <c r="P272"/>
      <c r="Q272" s="5">
        <v>3383</v>
      </c>
      <c r="R272" s="6">
        <f t="shared" si="76"/>
        <v>33.83</v>
      </c>
      <c r="S272" s="6">
        <v>5.3129999999999997</v>
      </c>
      <c r="T272" s="5">
        <v>100</v>
      </c>
      <c r="U272" s="5">
        <v>740</v>
      </c>
      <c r="V272" s="6">
        <f t="shared" si="77"/>
        <v>7.4</v>
      </c>
      <c r="W272" s="6">
        <v>2.8279999999999998</v>
      </c>
      <c r="X272" s="5">
        <v>100</v>
      </c>
      <c r="Z272" s="6">
        <f t="shared" si="78"/>
        <v>2.1342504743833022</v>
      </c>
      <c r="AA272" s="6">
        <f t="shared" si="79"/>
        <v>4.5716216216216212</v>
      </c>
      <c r="AB272" s="13">
        <f t="shared" si="81"/>
        <v>1.1420267566966826</v>
      </c>
      <c r="AC272" t="s">
        <v>40</v>
      </c>
      <c r="AE272" t="s">
        <v>644</v>
      </c>
      <c r="AF272" s="9">
        <v>0.39027777777777778</v>
      </c>
      <c r="AG272" s="9">
        <v>0.44444444444444442</v>
      </c>
      <c r="AH272" s="9">
        <f t="shared" si="72"/>
        <v>5.4166666666666641E-2</v>
      </c>
      <c r="AI272" s="9">
        <f t="shared" si="73"/>
        <v>0.39027777777777778</v>
      </c>
      <c r="AJ272" s="9">
        <v>0.53472222222222221</v>
      </c>
      <c r="AK272" s="9">
        <f t="shared" si="82"/>
        <v>0.14444444444444443</v>
      </c>
      <c r="AM272" t="b">
        <v>1</v>
      </c>
    </row>
    <row r="273" spans="1:39" x14ac:dyDescent="0.3">
      <c r="A273" s="3" t="s">
        <v>612</v>
      </c>
      <c r="B273" t="s">
        <v>613</v>
      </c>
      <c r="C273" t="s">
        <v>29</v>
      </c>
      <c r="D273">
        <v>58</v>
      </c>
      <c r="E273" s="1">
        <v>23084</v>
      </c>
      <c r="F273" s="2">
        <v>44364.442129629628</v>
      </c>
      <c r="G273" t="s">
        <v>30</v>
      </c>
      <c r="H273" s="5">
        <v>2965</v>
      </c>
      <c r="I273" s="6">
        <f t="shared" si="74"/>
        <v>29.65</v>
      </c>
      <c r="J273" s="6">
        <v>5.45</v>
      </c>
      <c r="K273" s="5">
        <v>100</v>
      </c>
      <c r="L273" s="5">
        <v>1576</v>
      </c>
      <c r="M273" s="6">
        <f t="shared" si="75"/>
        <v>15.76</v>
      </c>
      <c r="N273" s="6">
        <v>4.3369999999999997</v>
      </c>
      <c r="O273" s="5">
        <v>100</v>
      </c>
      <c r="P273"/>
      <c r="Q273" s="5">
        <v>2321</v>
      </c>
      <c r="R273" s="6">
        <f t="shared" si="76"/>
        <v>23.21</v>
      </c>
      <c r="S273" s="6">
        <v>5.343</v>
      </c>
      <c r="T273" s="5">
        <v>100</v>
      </c>
      <c r="U273" s="5">
        <v>547</v>
      </c>
      <c r="V273" s="6">
        <f t="shared" si="77"/>
        <v>5.47</v>
      </c>
      <c r="W273" s="6">
        <v>2.1949999999999998</v>
      </c>
      <c r="X273" s="5">
        <v>100</v>
      </c>
      <c r="Z273" s="6">
        <f t="shared" si="78"/>
        <v>1.8813451776649746</v>
      </c>
      <c r="AA273" s="6">
        <f t="shared" si="79"/>
        <v>4.2431444241316276</v>
      </c>
      <c r="AB273" s="13">
        <f t="shared" si="81"/>
        <v>1.2553779468571484</v>
      </c>
      <c r="AC273" t="s">
        <v>31</v>
      </c>
      <c r="AE273" t="s">
        <v>645</v>
      </c>
      <c r="AF273" s="9">
        <v>0.40138888888888885</v>
      </c>
      <c r="AG273" s="9">
        <v>0.44444444444444442</v>
      </c>
      <c r="AH273" s="9">
        <f t="shared" si="72"/>
        <v>4.3055555555555569E-2</v>
      </c>
      <c r="AI273" s="9">
        <f t="shared" si="73"/>
        <v>0.40138888888888885</v>
      </c>
      <c r="AJ273" s="9">
        <v>0.52083333333333337</v>
      </c>
      <c r="AK273" s="9">
        <f t="shared" si="82"/>
        <v>0.11944444444444452</v>
      </c>
      <c r="AM273" t="b">
        <v>1</v>
      </c>
    </row>
    <row r="274" spans="1:39" x14ac:dyDescent="0.3">
      <c r="A274" s="3" t="s">
        <v>614</v>
      </c>
      <c r="B274" t="s">
        <v>615</v>
      </c>
      <c r="C274" t="s">
        <v>52</v>
      </c>
      <c r="D274">
        <v>67</v>
      </c>
      <c r="E274" s="1">
        <v>19848</v>
      </c>
      <c r="F274" s="2">
        <v>44365.438437500001</v>
      </c>
      <c r="G274" t="s">
        <v>30</v>
      </c>
      <c r="H274" s="5">
        <v>3473</v>
      </c>
      <c r="I274" s="6">
        <f t="shared" si="74"/>
        <v>35.080808080808083</v>
      </c>
      <c r="J274" s="6">
        <v>5.8929999999999998</v>
      </c>
      <c r="K274" s="5">
        <v>99</v>
      </c>
      <c r="L274" s="5">
        <v>1241</v>
      </c>
      <c r="M274" s="6">
        <f t="shared" si="75"/>
        <v>12.535353535353535</v>
      </c>
      <c r="N274" s="6">
        <v>3.8450000000000002</v>
      </c>
      <c r="O274" s="5">
        <v>99</v>
      </c>
      <c r="P274"/>
      <c r="Q274" s="5">
        <v>2508</v>
      </c>
      <c r="R274" s="6">
        <f t="shared" si="76"/>
        <v>25.333333333333332</v>
      </c>
      <c r="S274" s="6">
        <v>5.5510000000000002</v>
      </c>
      <c r="T274" s="5">
        <v>99</v>
      </c>
      <c r="U274" s="5">
        <v>550</v>
      </c>
      <c r="V274" s="6">
        <f t="shared" si="77"/>
        <v>5.5555555555555554</v>
      </c>
      <c r="W274" s="6">
        <v>2.1909999999999998</v>
      </c>
      <c r="X274" s="5">
        <v>99</v>
      </c>
      <c r="Z274" s="6">
        <f t="shared" si="78"/>
        <v>2.7985495568090255</v>
      </c>
      <c r="AA274" s="6">
        <f t="shared" si="79"/>
        <v>4.5599999999999996</v>
      </c>
      <c r="AB274" s="13">
        <f t="shared" si="81"/>
        <v>0.62941549093003124</v>
      </c>
      <c r="AC274" t="s">
        <v>40</v>
      </c>
      <c r="AE274" t="s">
        <v>645</v>
      </c>
      <c r="AF274" s="9">
        <v>0.37986111111111115</v>
      </c>
      <c r="AG274" s="9">
        <v>0.44444444444444442</v>
      </c>
      <c r="AH274" s="9">
        <f t="shared" si="72"/>
        <v>6.458333333333327E-2</v>
      </c>
      <c r="AI274" s="9">
        <f t="shared" si="73"/>
        <v>0.37986111111111115</v>
      </c>
      <c r="AJ274" s="9">
        <v>0.51736111111111105</v>
      </c>
      <c r="AK274" s="9">
        <f t="shared" si="82"/>
        <v>0.1374999999999999</v>
      </c>
      <c r="AM274" t="b">
        <v>1</v>
      </c>
    </row>
    <row r="275" spans="1:39" x14ac:dyDescent="0.3">
      <c r="A275" s="3" t="s">
        <v>616</v>
      </c>
      <c r="B275" t="s">
        <v>617</v>
      </c>
      <c r="C275" t="s">
        <v>29</v>
      </c>
      <c r="D275">
        <v>52</v>
      </c>
      <c r="E275" s="1">
        <v>25360</v>
      </c>
      <c r="F275" s="2">
        <v>44365.439988425926</v>
      </c>
      <c r="G275" t="s">
        <v>30</v>
      </c>
      <c r="H275" s="5">
        <v>1786</v>
      </c>
      <c r="I275" s="6">
        <f t="shared" si="74"/>
        <v>18.040404040404042</v>
      </c>
      <c r="J275" s="6">
        <v>4.3940000000000001</v>
      </c>
      <c r="K275" s="5">
        <v>99</v>
      </c>
      <c r="L275" s="5">
        <v>991</v>
      </c>
      <c r="M275" s="6">
        <f t="shared" si="75"/>
        <v>10.01010101010101</v>
      </c>
      <c r="N275" s="6">
        <v>3.5760000000000001</v>
      </c>
      <c r="O275" s="5">
        <v>99</v>
      </c>
      <c r="P275"/>
      <c r="Q275" s="5">
        <v>831</v>
      </c>
      <c r="R275" s="6">
        <f t="shared" si="76"/>
        <v>8.3939393939393945</v>
      </c>
      <c r="S275" s="6">
        <v>3.2629999999999999</v>
      </c>
      <c r="T275" s="5">
        <v>99</v>
      </c>
      <c r="U275" s="5">
        <v>309</v>
      </c>
      <c r="V275" s="6">
        <f t="shared" si="77"/>
        <v>3.1212121212121211</v>
      </c>
      <c r="W275" s="6">
        <v>1.655</v>
      </c>
      <c r="X275" s="5">
        <v>99</v>
      </c>
      <c r="Z275" s="6">
        <f t="shared" si="78"/>
        <v>1.8022199798183653</v>
      </c>
      <c r="AA275" s="6">
        <f t="shared" si="79"/>
        <v>2.6893203883495147</v>
      </c>
      <c r="AB275" s="13">
        <f t="shared" si="81"/>
        <v>0.49222648648060974</v>
      </c>
      <c r="AC275" t="s">
        <v>31</v>
      </c>
      <c r="AE275" t="s">
        <v>644</v>
      </c>
      <c r="AF275" s="9">
        <v>0.38680555555555557</v>
      </c>
      <c r="AG275" s="9">
        <v>0.44444444444444442</v>
      </c>
      <c r="AH275" s="9">
        <f t="shared" si="72"/>
        <v>5.7638888888888851E-2</v>
      </c>
      <c r="AI275" s="9">
        <f t="shared" si="73"/>
        <v>0.38680555555555557</v>
      </c>
      <c r="AJ275" s="9">
        <v>0.53472222222222221</v>
      </c>
      <c r="AK275" s="9">
        <f t="shared" si="82"/>
        <v>0.14791666666666664</v>
      </c>
      <c r="AM275" t="b">
        <v>1</v>
      </c>
    </row>
    <row r="276" spans="1:39" x14ac:dyDescent="0.3">
      <c r="A276" s="3" t="s">
        <v>618</v>
      </c>
      <c r="B276" t="s">
        <v>619</v>
      </c>
      <c r="C276" t="s">
        <v>52</v>
      </c>
      <c r="D276">
        <v>79</v>
      </c>
      <c r="E276" s="1">
        <v>15330</v>
      </c>
      <c r="F276" s="2">
        <v>44369.433518518519</v>
      </c>
      <c r="G276" t="s">
        <v>30</v>
      </c>
      <c r="H276" s="5">
        <v>2609</v>
      </c>
      <c r="I276" s="6">
        <f t="shared" si="74"/>
        <v>26.353535353535353</v>
      </c>
      <c r="J276" s="6">
        <v>5.4240000000000004</v>
      </c>
      <c r="K276" s="5">
        <v>99</v>
      </c>
      <c r="L276" s="5">
        <v>1634</v>
      </c>
      <c r="M276" s="6">
        <f t="shared" si="75"/>
        <v>16.505050505050505</v>
      </c>
      <c r="N276" s="6">
        <v>4.7320000000000002</v>
      </c>
      <c r="O276" s="5">
        <v>99</v>
      </c>
      <c r="P276"/>
      <c r="Q276" s="5">
        <v>1863</v>
      </c>
      <c r="R276" s="6">
        <f t="shared" si="76"/>
        <v>18.63</v>
      </c>
      <c r="S276" s="6">
        <v>4.5119999999999996</v>
      </c>
      <c r="T276" s="5">
        <v>100</v>
      </c>
      <c r="U276" s="5">
        <v>884</v>
      </c>
      <c r="V276" s="6">
        <f t="shared" si="77"/>
        <v>8.84</v>
      </c>
      <c r="W276" s="6">
        <v>3.4220000000000002</v>
      </c>
      <c r="X276" s="5">
        <v>100</v>
      </c>
      <c r="Z276" s="6">
        <f t="shared" si="78"/>
        <v>1.5966952264381884</v>
      </c>
      <c r="AA276" s="6">
        <f t="shared" si="79"/>
        <v>2.1074660633484164</v>
      </c>
      <c r="AB276" s="13">
        <f t="shared" si="81"/>
        <v>0.31989250575366523</v>
      </c>
      <c r="AC276" t="s">
        <v>40</v>
      </c>
      <c r="AE276" t="s">
        <v>645</v>
      </c>
      <c r="AF276" s="9">
        <v>0.3833333333333333</v>
      </c>
      <c r="AG276" s="9">
        <v>0.44444444444444442</v>
      </c>
      <c r="AH276" s="9">
        <f t="shared" si="72"/>
        <v>6.1111111111111116E-2</v>
      </c>
      <c r="AI276" s="9">
        <f t="shared" si="73"/>
        <v>0.3833333333333333</v>
      </c>
      <c r="AJ276" s="9">
        <v>0.52083333333333337</v>
      </c>
      <c r="AK276" s="9">
        <f t="shared" si="82"/>
        <v>0.13750000000000007</v>
      </c>
      <c r="AM276" t="b">
        <v>1</v>
      </c>
    </row>
    <row r="277" spans="1:39" x14ac:dyDescent="0.3">
      <c r="A277" s="3" t="s">
        <v>620</v>
      </c>
      <c r="B277" t="s">
        <v>621</v>
      </c>
      <c r="C277" t="s">
        <v>52</v>
      </c>
      <c r="D277">
        <v>59</v>
      </c>
      <c r="E277" s="1">
        <v>22802</v>
      </c>
      <c r="F277" s="2">
        <v>44371.414826388886</v>
      </c>
      <c r="G277" t="s">
        <v>30</v>
      </c>
      <c r="H277" s="5">
        <v>1546</v>
      </c>
      <c r="I277" s="6">
        <f t="shared" si="74"/>
        <v>15.616161616161616</v>
      </c>
      <c r="J277" s="6">
        <v>1.2509999999999999</v>
      </c>
      <c r="K277" s="5">
        <v>99</v>
      </c>
      <c r="L277" s="5">
        <v>677</v>
      </c>
      <c r="M277" s="6">
        <f t="shared" si="75"/>
        <v>6.8383838383838382</v>
      </c>
      <c r="N277" s="6">
        <v>0.81699999999999995</v>
      </c>
      <c r="O277" s="5">
        <v>99</v>
      </c>
      <c r="P277"/>
      <c r="Q277" s="5">
        <v>1069</v>
      </c>
      <c r="R277" s="6">
        <f t="shared" si="76"/>
        <v>10.797979797979798</v>
      </c>
      <c r="S277" s="6">
        <v>1.0780000000000001</v>
      </c>
      <c r="T277" s="5">
        <v>99</v>
      </c>
      <c r="U277" s="5">
        <v>257</v>
      </c>
      <c r="V277" s="6">
        <f t="shared" si="77"/>
        <v>2.595959595959596</v>
      </c>
      <c r="W277" s="6">
        <v>0.68400000000000005</v>
      </c>
      <c r="X277" s="5">
        <v>99</v>
      </c>
      <c r="Z277" s="6">
        <f t="shared" si="78"/>
        <v>2.2836041358936483</v>
      </c>
      <c r="AA277" s="6">
        <f t="shared" si="79"/>
        <v>4.1595330739299605</v>
      </c>
      <c r="AB277" s="13">
        <f t="shared" si="81"/>
        <v>0.82147729045962703</v>
      </c>
      <c r="AC277" t="s">
        <v>39</v>
      </c>
      <c r="AE277" t="s">
        <v>646</v>
      </c>
      <c r="AF277" s="9">
        <v>0.3888888888888889</v>
      </c>
      <c r="AG277" s="9">
        <v>0.44444444444444442</v>
      </c>
      <c r="AH277" s="9">
        <f t="shared" si="72"/>
        <v>5.5555555555555525E-2</v>
      </c>
      <c r="AI277" s="9">
        <f t="shared" si="73"/>
        <v>0.3888888888888889</v>
      </c>
      <c r="AJ277" s="9">
        <v>0.53472222222222221</v>
      </c>
      <c r="AK277" s="9">
        <f t="shared" si="82"/>
        <v>0.14583333333333331</v>
      </c>
      <c r="AM277" t="b">
        <v>1</v>
      </c>
    </row>
    <row r="278" spans="1:39" x14ac:dyDescent="0.3">
      <c r="A278" s="3" t="s">
        <v>622</v>
      </c>
      <c r="B278" t="s">
        <v>623</v>
      </c>
      <c r="C278" t="s">
        <v>29</v>
      </c>
      <c r="D278">
        <v>53</v>
      </c>
      <c r="E278" s="1">
        <v>24897</v>
      </c>
      <c r="F278" s="2">
        <v>44370.433298611111</v>
      </c>
      <c r="G278" t="s">
        <v>30</v>
      </c>
      <c r="H278" s="5">
        <v>2910</v>
      </c>
      <c r="I278" s="6">
        <f t="shared" si="74"/>
        <v>29.1</v>
      </c>
      <c r="J278" s="6">
        <v>5.3419999999999996</v>
      </c>
      <c r="K278" s="5">
        <v>100</v>
      </c>
      <c r="L278" s="5">
        <v>1721</v>
      </c>
      <c r="M278" s="6">
        <f t="shared" si="75"/>
        <v>17.21</v>
      </c>
      <c r="N278" s="6">
        <v>4.319</v>
      </c>
      <c r="O278" s="5">
        <v>100</v>
      </c>
      <c r="P278"/>
      <c r="Q278" s="5">
        <v>1832</v>
      </c>
      <c r="R278" s="6">
        <f t="shared" si="76"/>
        <v>18.505050505050505</v>
      </c>
      <c r="S278" s="6">
        <v>4.3220000000000001</v>
      </c>
      <c r="T278" s="5">
        <v>99</v>
      </c>
      <c r="U278" s="5">
        <v>522</v>
      </c>
      <c r="V278" s="6">
        <f t="shared" si="77"/>
        <v>5.2727272727272725</v>
      </c>
      <c r="W278" s="6">
        <v>2.3730000000000002</v>
      </c>
      <c r="X278" s="5">
        <v>99</v>
      </c>
      <c r="Z278" s="6">
        <f t="shared" si="78"/>
        <v>1.6908773968622894</v>
      </c>
      <c r="AA278" s="6">
        <f t="shared" si="79"/>
        <v>3.509578544061303</v>
      </c>
      <c r="AB278" s="13">
        <f t="shared" si="81"/>
        <v>1.0755961080170111</v>
      </c>
      <c r="AC278" t="s">
        <v>40</v>
      </c>
      <c r="AE278" t="s">
        <v>644</v>
      </c>
      <c r="AF278" s="9">
        <v>0.39930555555555558</v>
      </c>
      <c r="AG278" s="9">
        <v>0.44444444444444442</v>
      </c>
      <c r="AH278" s="9">
        <f t="shared" si="72"/>
        <v>4.513888888888884E-2</v>
      </c>
      <c r="AI278" s="9">
        <f t="shared" si="73"/>
        <v>0.39930555555555558</v>
      </c>
      <c r="AJ278" s="9">
        <v>0.53472222222222221</v>
      </c>
      <c r="AK278" s="9">
        <f t="shared" si="82"/>
        <v>0.13541666666666663</v>
      </c>
      <c r="AM278" t="b">
        <v>1</v>
      </c>
    </row>
    <row r="279" spans="1:39" x14ac:dyDescent="0.3">
      <c r="A279" s="3" t="s">
        <v>624</v>
      </c>
      <c r="B279" t="s">
        <v>625</v>
      </c>
      <c r="C279" t="s">
        <v>29</v>
      </c>
      <c r="D279">
        <v>45</v>
      </c>
      <c r="E279" s="1">
        <v>27828</v>
      </c>
      <c r="F279" s="2">
        <v>44369.433668981481</v>
      </c>
      <c r="G279" t="s">
        <v>30</v>
      </c>
      <c r="H279" s="5">
        <v>1440</v>
      </c>
      <c r="I279" s="6">
        <f t="shared" si="74"/>
        <v>14.4</v>
      </c>
      <c r="J279" s="6">
        <v>4.3129999999999997</v>
      </c>
      <c r="K279" s="5">
        <v>100</v>
      </c>
      <c r="L279" s="5">
        <v>744</v>
      </c>
      <c r="M279" s="6">
        <f t="shared" si="75"/>
        <v>7.44</v>
      </c>
      <c r="N279" s="6">
        <v>2.7789999999999999</v>
      </c>
      <c r="O279" s="5">
        <v>100</v>
      </c>
      <c r="P279"/>
      <c r="Q279" s="5">
        <v>982</v>
      </c>
      <c r="R279" s="6">
        <f t="shared" si="76"/>
        <v>9.82</v>
      </c>
      <c r="S279" s="6">
        <v>3.4119999999999999</v>
      </c>
      <c r="T279" s="5">
        <v>100</v>
      </c>
      <c r="U279" s="5">
        <v>260</v>
      </c>
      <c r="V279" s="6">
        <f t="shared" si="77"/>
        <v>2.6</v>
      </c>
      <c r="W279" s="6">
        <v>1.8029999999999999</v>
      </c>
      <c r="X279" s="5">
        <v>100</v>
      </c>
      <c r="Z279" s="6">
        <f t="shared" si="78"/>
        <v>1.9354838709677418</v>
      </c>
      <c r="AA279" s="6">
        <f t="shared" si="79"/>
        <v>3.7769230769230768</v>
      </c>
      <c r="AB279" s="13">
        <f t="shared" si="81"/>
        <v>0.95141025641025656</v>
      </c>
      <c r="AC279" t="s">
        <v>31</v>
      </c>
      <c r="AE279" t="s">
        <v>644</v>
      </c>
      <c r="AF279" s="9">
        <v>0.38680555555555557</v>
      </c>
      <c r="AG279" s="9">
        <v>0.43402777777777773</v>
      </c>
      <c r="AH279" s="9">
        <f t="shared" si="72"/>
        <v>4.7222222222222165E-2</v>
      </c>
      <c r="AI279" s="9">
        <f t="shared" si="73"/>
        <v>0.38680555555555557</v>
      </c>
      <c r="AJ279" s="9">
        <v>0.52083333333333337</v>
      </c>
      <c r="AK279" s="9">
        <f t="shared" si="82"/>
        <v>0.1340277777777778</v>
      </c>
      <c r="AM279" t="b">
        <v>1</v>
      </c>
    </row>
    <row r="280" spans="1:39" x14ac:dyDescent="0.3">
      <c r="A280" s="3" t="s">
        <v>626</v>
      </c>
      <c r="B280" t="s">
        <v>627</v>
      </c>
      <c r="C280" t="s">
        <v>29</v>
      </c>
      <c r="D280">
        <v>61</v>
      </c>
      <c r="E280" s="1">
        <v>21828</v>
      </c>
      <c r="F280" s="2">
        <v>44371.441296296296</v>
      </c>
      <c r="G280" t="s">
        <v>30</v>
      </c>
      <c r="H280" s="5">
        <v>2369</v>
      </c>
      <c r="I280" s="6">
        <f t="shared" si="74"/>
        <v>23.69</v>
      </c>
      <c r="J280" s="6">
        <v>5.55</v>
      </c>
      <c r="K280" s="5">
        <v>100</v>
      </c>
      <c r="L280" s="5">
        <v>713</v>
      </c>
      <c r="M280" s="6">
        <f t="shared" si="75"/>
        <v>7.13</v>
      </c>
      <c r="N280" s="6">
        <v>2.9769999999999999</v>
      </c>
      <c r="O280" s="5">
        <v>100</v>
      </c>
      <c r="P280"/>
      <c r="Q280" s="5">
        <v>1708</v>
      </c>
      <c r="R280" s="6">
        <f t="shared" si="76"/>
        <v>17.079999999999998</v>
      </c>
      <c r="S280" s="6">
        <v>4.9169999999999998</v>
      </c>
      <c r="T280" s="5">
        <v>100</v>
      </c>
      <c r="U280" s="5">
        <v>303</v>
      </c>
      <c r="V280" s="6">
        <f t="shared" si="77"/>
        <v>3.03</v>
      </c>
      <c r="W280" s="6">
        <v>1.6359999999999999</v>
      </c>
      <c r="X280" s="5">
        <v>100</v>
      </c>
      <c r="Z280" s="6">
        <f t="shared" si="78"/>
        <v>3.3225806451612905</v>
      </c>
      <c r="AA280" s="6">
        <f t="shared" si="79"/>
        <v>5.6369636963696363</v>
      </c>
      <c r="AB280" s="13">
        <f t="shared" si="81"/>
        <v>0.69656188919862838</v>
      </c>
      <c r="AC280" t="s">
        <v>31</v>
      </c>
      <c r="AE280" t="s">
        <v>645</v>
      </c>
      <c r="AF280" s="9">
        <v>0.37291666666666662</v>
      </c>
      <c r="AG280" s="9">
        <v>0.44444444444444442</v>
      </c>
      <c r="AH280" s="9">
        <f t="shared" si="72"/>
        <v>7.1527777777777801E-2</v>
      </c>
      <c r="AI280" s="9">
        <f t="shared" si="73"/>
        <v>0.37291666666666662</v>
      </c>
      <c r="AJ280" s="9">
        <v>0.52083333333333337</v>
      </c>
      <c r="AK280" s="9">
        <f t="shared" si="82"/>
        <v>0.14791666666666675</v>
      </c>
      <c r="AM280" t="b">
        <v>1</v>
      </c>
    </row>
    <row r="281" spans="1:39" x14ac:dyDescent="0.3">
      <c r="A281" s="3" t="s">
        <v>628</v>
      </c>
      <c r="B281" t="s">
        <v>629</v>
      </c>
      <c r="C281" t="s">
        <v>29</v>
      </c>
      <c r="D281">
        <v>58</v>
      </c>
      <c r="E281" s="1">
        <v>22861</v>
      </c>
      <c r="F281" s="2">
        <v>44371.437662037039</v>
      </c>
      <c r="G281" t="s">
        <v>30</v>
      </c>
      <c r="H281" s="5">
        <v>2673</v>
      </c>
      <c r="I281" s="6">
        <f t="shared" si="74"/>
        <v>27</v>
      </c>
      <c r="J281" s="6">
        <v>6.202</v>
      </c>
      <c r="K281" s="5">
        <v>99</v>
      </c>
      <c r="L281" s="5">
        <v>1263</v>
      </c>
      <c r="M281" s="6">
        <f t="shared" si="75"/>
        <v>12.757575757575758</v>
      </c>
      <c r="N281" s="6">
        <v>4</v>
      </c>
      <c r="O281" s="5">
        <v>99</v>
      </c>
      <c r="P281"/>
      <c r="Q281" s="5">
        <v>1836</v>
      </c>
      <c r="R281" s="6">
        <f t="shared" si="76"/>
        <v>18.545454545454547</v>
      </c>
      <c r="S281" s="6">
        <v>4.9039999999999999</v>
      </c>
      <c r="T281" s="5">
        <v>99</v>
      </c>
      <c r="U281" s="5">
        <v>480</v>
      </c>
      <c r="V281" s="6">
        <f t="shared" si="77"/>
        <v>4.8484848484848486</v>
      </c>
      <c r="W281" s="6">
        <v>2.3580000000000001</v>
      </c>
      <c r="X281" s="5">
        <v>99</v>
      </c>
      <c r="Z281" s="6">
        <f t="shared" si="78"/>
        <v>2.1163895486935869</v>
      </c>
      <c r="AA281" s="6">
        <f t="shared" si="79"/>
        <v>3.8250000000000002</v>
      </c>
      <c r="AB281" s="13">
        <f t="shared" si="81"/>
        <v>0.80732323232323222</v>
      </c>
      <c r="AC281" t="s">
        <v>40</v>
      </c>
      <c r="AE281" t="s">
        <v>644</v>
      </c>
      <c r="AF281" s="9">
        <v>0.40069444444444446</v>
      </c>
      <c r="AG281" s="9">
        <v>0.44444444444444442</v>
      </c>
      <c r="AH281" s="9">
        <f t="shared" si="72"/>
        <v>4.3749999999999956E-2</v>
      </c>
      <c r="AI281" s="9">
        <f t="shared" si="73"/>
        <v>0.40069444444444446</v>
      </c>
      <c r="AJ281" s="9">
        <v>0.53472222222222221</v>
      </c>
      <c r="AK281" s="9">
        <f t="shared" si="82"/>
        <v>0.13402777777777775</v>
      </c>
      <c r="AM281" t="b">
        <v>1</v>
      </c>
    </row>
    <row r="282" spans="1:39" x14ac:dyDescent="0.3">
      <c r="A282" s="3" t="s">
        <v>630</v>
      </c>
      <c r="B282" t="s">
        <v>631</v>
      </c>
      <c r="C282" t="s">
        <v>52</v>
      </c>
      <c r="D282">
        <v>61</v>
      </c>
      <c r="E282" s="1">
        <v>21736</v>
      </c>
      <c r="F282" s="2">
        <v>44372.440416666665</v>
      </c>
      <c r="G282" t="s">
        <v>30</v>
      </c>
      <c r="H282" s="5">
        <v>1684</v>
      </c>
      <c r="I282" s="6">
        <f t="shared" si="74"/>
        <v>17.01010101010101</v>
      </c>
      <c r="J282" s="6">
        <v>4.72</v>
      </c>
      <c r="K282" s="5">
        <v>99</v>
      </c>
      <c r="L282" s="5">
        <v>709</v>
      </c>
      <c r="M282" s="6">
        <f t="shared" si="75"/>
        <v>7.1616161616161618</v>
      </c>
      <c r="N282" s="6">
        <v>3.113</v>
      </c>
      <c r="O282" s="5">
        <v>99</v>
      </c>
      <c r="P282"/>
      <c r="Q282" s="5">
        <v>1209</v>
      </c>
      <c r="R282" s="6">
        <f t="shared" si="76"/>
        <v>12.212121212121213</v>
      </c>
      <c r="S282" s="6">
        <v>3.8580000000000001</v>
      </c>
      <c r="T282" s="5">
        <v>99</v>
      </c>
      <c r="U282" s="5">
        <v>377</v>
      </c>
      <c r="V282" s="6">
        <f t="shared" si="77"/>
        <v>3.808080808080808</v>
      </c>
      <c r="W282" s="6">
        <v>2.0390000000000001</v>
      </c>
      <c r="X282" s="5">
        <v>99</v>
      </c>
      <c r="Z282" s="6">
        <f t="shared" si="78"/>
        <v>2.3751763046544427</v>
      </c>
      <c r="AA282" s="6">
        <f t="shared" si="79"/>
        <v>3.2068965517241383</v>
      </c>
      <c r="AB282" s="13">
        <f t="shared" si="81"/>
        <v>0.35017200425915335</v>
      </c>
      <c r="AC282" t="s">
        <v>31</v>
      </c>
      <c r="AE282" t="s">
        <v>645</v>
      </c>
      <c r="AF282" s="9">
        <v>0.37847222222222227</v>
      </c>
      <c r="AG282" s="9">
        <v>0.44444444444444442</v>
      </c>
      <c r="AH282" s="9">
        <f t="shared" si="72"/>
        <v>6.5972222222222154E-2</v>
      </c>
      <c r="AI282" s="9">
        <f t="shared" si="73"/>
        <v>0.37847222222222227</v>
      </c>
      <c r="AJ282" s="9">
        <v>0.52083333333333337</v>
      </c>
      <c r="AK282" s="9">
        <f t="shared" si="82"/>
        <v>0.1423611111111111</v>
      </c>
      <c r="AM282" t="b">
        <v>1</v>
      </c>
    </row>
    <row r="283" spans="1:39" x14ac:dyDescent="0.3">
      <c r="A283" s="3" t="s">
        <v>632</v>
      </c>
      <c r="B283" t="s">
        <v>633</v>
      </c>
      <c r="C283" t="s">
        <v>29</v>
      </c>
      <c r="D283">
        <v>50</v>
      </c>
      <c r="E283" s="1">
        <v>25982</v>
      </c>
      <c r="F283" s="2">
        <v>44372.421273148146</v>
      </c>
      <c r="G283" t="s">
        <v>30</v>
      </c>
      <c r="H283" s="5">
        <v>2803</v>
      </c>
      <c r="I283" s="6">
        <f t="shared" si="74"/>
        <v>28.03</v>
      </c>
      <c r="J283" s="6">
        <v>5.4630000000000001</v>
      </c>
      <c r="K283" s="5">
        <v>100</v>
      </c>
      <c r="L283" s="5">
        <v>1190</v>
      </c>
      <c r="M283" s="6">
        <f t="shared" si="75"/>
        <v>11.9</v>
      </c>
      <c r="N283" s="6">
        <v>3.1890000000000001</v>
      </c>
      <c r="O283" s="5">
        <v>100</v>
      </c>
      <c r="P283"/>
      <c r="Q283" s="5">
        <v>1851</v>
      </c>
      <c r="R283" s="6">
        <f t="shared" si="76"/>
        <v>18.510000000000002</v>
      </c>
      <c r="S283" s="6">
        <v>5.4169999999999998</v>
      </c>
      <c r="T283" s="5">
        <v>100</v>
      </c>
      <c r="U283" s="5">
        <v>352</v>
      </c>
      <c r="V283" s="6">
        <f t="shared" si="77"/>
        <v>3.52</v>
      </c>
      <c r="W283" s="6">
        <v>1.883</v>
      </c>
      <c r="X283" s="5">
        <v>100</v>
      </c>
      <c r="Z283" s="6">
        <f t="shared" si="78"/>
        <v>2.3554621848739496</v>
      </c>
      <c r="AA283" s="6">
        <f t="shared" si="79"/>
        <v>5.2585227272727275</v>
      </c>
      <c r="AB283" s="13">
        <f t="shared" si="81"/>
        <v>1.2324802160023351</v>
      </c>
      <c r="AC283" t="s">
        <v>40</v>
      </c>
      <c r="AE283" t="s">
        <v>645</v>
      </c>
      <c r="AF283" s="9">
        <v>0.39166666666666666</v>
      </c>
      <c r="AG283" s="9">
        <v>0.44444444444444442</v>
      </c>
      <c r="AH283" s="9">
        <f t="shared" si="72"/>
        <v>5.2777777777777757E-2</v>
      </c>
      <c r="AI283" s="9">
        <f t="shared" si="73"/>
        <v>0.39166666666666666</v>
      </c>
      <c r="AJ283" s="9">
        <v>0.53263888888888888</v>
      </c>
      <c r="AK283" s="9">
        <f t="shared" si="82"/>
        <v>0.14097222222222222</v>
      </c>
      <c r="AM283" t="b">
        <v>1</v>
      </c>
    </row>
    <row r="284" spans="1:39" x14ac:dyDescent="0.3">
      <c r="A284" s="3" t="s">
        <v>634</v>
      </c>
      <c r="B284" t="s">
        <v>635</v>
      </c>
      <c r="C284" t="s">
        <v>29</v>
      </c>
      <c r="D284">
        <v>44</v>
      </c>
      <c r="E284" s="1">
        <v>28128</v>
      </c>
      <c r="F284" s="2">
        <v>44375.425891203704</v>
      </c>
      <c r="G284" t="s">
        <v>30</v>
      </c>
      <c r="H284" s="5">
        <v>2106</v>
      </c>
      <c r="I284" s="6">
        <f t="shared" si="74"/>
        <v>21.272727272727273</v>
      </c>
      <c r="J284" s="6">
        <v>4.3789999999999996</v>
      </c>
      <c r="K284" s="5">
        <v>99</v>
      </c>
      <c r="L284" s="5">
        <v>1140</v>
      </c>
      <c r="M284" s="6">
        <f t="shared" si="75"/>
        <v>11.515151515151516</v>
      </c>
      <c r="N284" s="6">
        <v>3.2709999999999999</v>
      </c>
      <c r="O284" s="5">
        <v>99</v>
      </c>
      <c r="P284"/>
      <c r="Q284" s="5">
        <v>1379</v>
      </c>
      <c r="R284" s="6">
        <f t="shared" si="76"/>
        <v>13.79</v>
      </c>
      <c r="S284" s="6">
        <v>4.5599999999999996</v>
      </c>
      <c r="T284" s="5">
        <v>100</v>
      </c>
      <c r="U284" s="5">
        <v>394</v>
      </c>
      <c r="V284" s="6">
        <f t="shared" si="77"/>
        <v>3.94</v>
      </c>
      <c r="W284" s="6">
        <v>2.093</v>
      </c>
      <c r="X284" s="5">
        <v>100</v>
      </c>
      <c r="Z284" s="6">
        <f t="shared" si="78"/>
        <v>1.8473684210526315</v>
      </c>
      <c r="AA284" s="6">
        <f t="shared" si="79"/>
        <v>3.5</v>
      </c>
      <c r="AB284" s="13">
        <f t="shared" si="81"/>
        <v>0.89458689458689467</v>
      </c>
      <c r="AC284" t="s">
        <v>40</v>
      </c>
      <c r="AE284" t="s">
        <v>644</v>
      </c>
      <c r="AF284" s="9">
        <v>0.3888888888888889</v>
      </c>
      <c r="AG284" s="9">
        <v>0.44444444444444442</v>
      </c>
      <c r="AH284" s="9">
        <f t="shared" si="72"/>
        <v>5.5555555555555525E-2</v>
      </c>
      <c r="AI284" s="9">
        <f t="shared" si="73"/>
        <v>0.3888888888888889</v>
      </c>
      <c r="AJ284" s="9">
        <v>0.51944444444444449</v>
      </c>
      <c r="AK284" s="9">
        <f t="shared" si="82"/>
        <v>0.13055555555555559</v>
      </c>
      <c r="AM284" t="b">
        <v>1</v>
      </c>
    </row>
    <row r="285" spans="1:39" x14ac:dyDescent="0.3">
      <c r="A285" s="3" t="s">
        <v>636</v>
      </c>
      <c r="B285" t="s">
        <v>637</v>
      </c>
      <c r="C285" t="s">
        <v>29</v>
      </c>
      <c r="D285">
        <v>48</v>
      </c>
      <c r="E285" s="1">
        <v>26658</v>
      </c>
      <c r="F285" s="2">
        <v>44375.441840277781</v>
      </c>
      <c r="G285" t="s">
        <v>30</v>
      </c>
      <c r="H285" s="5">
        <v>2055</v>
      </c>
      <c r="I285" s="6">
        <f t="shared" si="74"/>
        <v>20.55</v>
      </c>
      <c r="J285" s="6">
        <v>4.9260000000000002</v>
      </c>
      <c r="K285" s="5">
        <v>100</v>
      </c>
      <c r="L285" s="5">
        <v>1194</v>
      </c>
      <c r="M285" s="6">
        <f t="shared" si="75"/>
        <v>11.94</v>
      </c>
      <c r="N285" s="6">
        <v>3.3330000000000002</v>
      </c>
      <c r="O285" s="5">
        <v>100</v>
      </c>
      <c r="P285"/>
      <c r="Q285" s="5">
        <v>1246</v>
      </c>
      <c r="R285" s="6">
        <f t="shared" si="76"/>
        <v>12.585858585858587</v>
      </c>
      <c r="S285" s="6">
        <v>3.6030000000000002</v>
      </c>
      <c r="T285" s="5">
        <v>99</v>
      </c>
      <c r="U285" s="5">
        <v>427</v>
      </c>
      <c r="V285" s="6">
        <f t="shared" si="77"/>
        <v>4.3131313131313131</v>
      </c>
      <c r="W285" s="6">
        <v>2.2799999999999998</v>
      </c>
      <c r="X285" s="5">
        <v>99</v>
      </c>
      <c r="Z285" s="6">
        <f t="shared" si="78"/>
        <v>1.721105527638191</v>
      </c>
      <c r="AA285" s="6">
        <f t="shared" si="79"/>
        <v>2.918032786885246</v>
      </c>
      <c r="AB285" s="13">
        <f t="shared" si="81"/>
        <v>0.69544094770850784</v>
      </c>
      <c r="AC285" t="s">
        <v>31</v>
      </c>
      <c r="AE285" t="s">
        <v>644</v>
      </c>
      <c r="AF285" s="9">
        <v>0.39861111111111108</v>
      </c>
      <c r="AG285" s="9">
        <v>0.44444444444444442</v>
      </c>
      <c r="AH285" s="9">
        <f t="shared" si="72"/>
        <v>4.5833333333333337E-2</v>
      </c>
      <c r="AI285" s="9">
        <f t="shared" si="73"/>
        <v>0.39861111111111108</v>
      </c>
      <c r="AJ285" s="9">
        <v>0.53472222222222221</v>
      </c>
      <c r="AK285" s="9">
        <f t="shared" si="82"/>
        <v>0.13611111111111113</v>
      </c>
      <c r="AM285" t="b">
        <v>1</v>
      </c>
    </row>
    <row r="286" spans="1:39" x14ac:dyDescent="0.3">
      <c r="A286" s="3" t="s">
        <v>638</v>
      </c>
      <c r="B286" t="s">
        <v>639</v>
      </c>
      <c r="C286" t="s">
        <v>29</v>
      </c>
      <c r="D286">
        <v>43</v>
      </c>
      <c r="E286" s="1">
        <v>28402</v>
      </c>
      <c r="F286" s="2">
        <v>44376.428935185184</v>
      </c>
      <c r="G286" t="s">
        <v>30</v>
      </c>
      <c r="H286" s="5">
        <v>3200</v>
      </c>
      <c r="I286" s="6">
        <f t="shared" si="74"/>
        <v>32.323232323232325</v>
      </c>
      <c r="J286" s="6">
        <v>4.1820000000000004</v>
      </c>
      <c r="K286" s="5">
        <v>99</v>
      </c>
      <c r="L286" s="5">
        <v>838</v>
      </c>
      <c r="M286" s="6">
        <f t="shared" si="75"/>
        <v>8.4646464646464654</v>
      </c>
      <c r="N286" s="6">
        <v>0.95099999999999996</v>
      </c>
      <c r="O286" s="5">
        <v>99</v>
      </c>
      <c r="P286"/>
      <c r="Q286" s="5">
        <v>2297</v>
      </c>
      <c r="R286" s="6">
        <f t="shared" si="76"/>
        <v>22.97</v>
      </c>
      <c r="S286" s="6">
        <v>2.996</v>
      </c>
      <c r="T286" s="5">
        <v>100</v>
      </c>
      <c r="U286" s="5">
        <v>343</v>
      </c>
      <c r="V286" s="6">
        <f t="shared" si="77"/>
        <v>3.43</v>
      </c>
      <c r="W286" s="6">
        <v>0.74199999999999999</v>
      </c>
      <c r="X286" s="5">
        <v>100</v>
      </c>
      <c r="Z286" s="6">
        <f t="shared" si="78"/>
        <v>3.8186157517899759</v>
      </c>
      <c r="AA286" s="6">
        <f t="shared" si="79"/>
        <v>6.6967930029154514</v>
      </c>
      <c r="AB286" s="13">
        <f t="shared" si="81"/>
        <v>0.75372266763848395</v>
      </c>
      <c r="AC286" t="s">
        <v>53</v>
      </c>
      <c r="AE286" t="s">
        <v>644</v>
      </c>
      <c r="AF286" s="9">
        <v>0.3743055555555555</v>
      </c>
      <c r="AG286" s="9">
        <v>0.4375</v>
      </c>
      <c r="AH286" s="9">
        <f t="shared" si="72"/>
        <v>6.3194444444444497E-2</v>
      </c>
      <c r="AI286" s="9">
        <f t="shared" si="73"/>
        <v>0.3743055555555555</v>
      </c>
      <c r="AJ286" s="9">
        <v>0.52083333333333337</v>
      </c>
      <c r="AK286" s="9">
        <f t="shared" si="82"/>
        <v>0.14652777777777787</v>
      </c>
      <c r="AM286" t="b">
        <v>1</v>
      </c>
    </row>
    <row r="287" spans="1:39" x14ac:dyDescent="0.3">
      <c r="A287" s="3" t="s">
        <v>640</v>
      </c>
      <c r="B287" t="s">
        <v>641</v>
      </c>
      <c r="C287" t="s">
        <v>29</v>
      </c>
      <c r="D287">
        <v>49</v>
      </c>
      <c r="E287" s="1">
        <v>26181</v>
      </c>
      <c r="F287" s="2">
        <v>44376.439756944441</v>
      </c>
      <c r="G287" t="s">
        <v>30</v>
      </c>
      <c r="H287" s="5">
        <v>3900</v>
      </c>
      <c r="I287" s="6">
        <f t="shared" si="74"/>
        <v>39.393939393939391</v>
      </c>
      <c r="J287" s="6">
        <v>5.9960000000000004</v>
      </c>
      <c r="K287" s="5">
        <v>99</v>
      </c>
      <c r="L287" s="5">
        <v>1717</v>
      </c>
      <c r="M287" s="6">
        <f t="shared" si="75"/>
        <v>17.343434343434343</v>
      </c>
      <c r="N287" s="6">
        <v>4.5449999999999999</v>
      </c>
      <c r="O287" s="5">
        <v>99</v>
      </c>
      <c r="P287"/>
      <c r="Q287" s="5">
        <v>2467</v>
      </c>
      <c r="R287" s="6">
        <f t="shared" si="76"/>
        <v>24.91919191919192</v>
      </c>
      <c r="S287" s="6">
        <v>5.1360000000000001</v>
      </c>
      <c r="T287" s="5">
        <v>99</v>
      </c>
      <c r="U287" s="5">
        <v>537</v>
      </c>
      <c r="V287" s="6">
        <f t="shared" si="77"/>
        <v>5.4242424242424239</v>
      </c>
      <c r="W287" s="6">
        <v>2.3610000000000002</v>
      </c>
      <c r="X287" s="5">
        <v>99</v>
      </c>
      <c r="Z287" s="6">
        <f t="shared" si="78"/>
        <v>2.2714036109493301</v>
      </c>
      <c r="AA287" s="6">
        <f t="shared" si="79"/>
        <v>4.5940409683426449</v>
      </c>
      <c r="AB287" s="13">
        <f t="shared" si="81"/>
        <v>1.0225559852934158</v>
      </c>
      <c r="AC287" t="s">
        <v>40</v>
      </c>
      <c r="AE287" t="s">
        <v>644</v>
      </c>
      <c r="AF287" s="9">
        <v>0.3972222222222222</v>
      </c>
      <c r="AG287" s="9">
        <v>0.44444444444444442</v>
      </c>
      <c r="AH287" s="9">
        <f t="shared" ref="AH287:AH288" si="83">AG287-AF287</f>
        <v>4.7222222222222221E-2</v>
      </c>
      <c r="AI287" s="9">
        <f t="shared" ref="AI287:AI288" si="84">AF287</f>
        <v>0.3972222222222222</v>
      </c>
      <c r="AJ287" s="9">
        <v>0.53194444444444444</v>
      </c>
      <c r="AK287" s="9">
        <f t="shared" si="82"/>
        <v>0.13472222222222224</v>
      </c>
      <c r="AM287" t="b">
        <v>1</v>
      </c>
    </row>
    <row r="288" spans="1:39" x14ac:dyDescent="0.3">
      <c r="A288" s="3" t="s">
        <v>642</v>
      </c>
      <c r="B288" t="s">
        <v>643</v>
      </c>
      <c r="C288" t="s">
        <v>52</v>
      </c>
      <c r="D288">
        <v>64</v>
      </c>
      <c r="E288" s="1">
        <v>20992</v>
      </c>
      <c r="F288" s="2">
        <v>44377.420324074075</v>
      </c>
      <c r="G288" t="s">
        <v>30</v>
      </c>
      <c r="H288" s="5">
        <v>2834</v>
      </c>
      <c r="I288" s="6">
        <f t="shared" si="74"/>
        <v>28.34</v>
      </c>
      <c r="J288" s="6">
        <v>6.3769999999999998</v>
      </c>
      <c r="K288" s="5">
        <v>100</v>
      </c>
      <c r="L288" s="5">
        <v>1178</v>
      </c>
      <c r="M288" s="6">
        <f t="shared" si="75"/>
        <v>11.78</v>
      </c>
      <c r="N288" s="6">
        <v>3.3860000000000001</v>
      </c>
      <c r="O288" s="5">
        <v>100</v>
      </c>
      <c r="P288"/>
      <c r="Q288" s="5">
        <v>2043</v>
      </c>
      <c r="R288" s="6">
        <f t="shared" si="76"/>
        <v>20.43</v>
      </c>
      <c r="S288" s="6">
        <v>4.8</v>
      </c>
      <c r="T288" s="5">
        <v>100</v>
      </c>
      <c r="U288" s="5">
        <v>423</v>
      </c>
      <c r="V288" s="6">
        <f t="shared" si="77"/>
        <v>4.2300000000000004</v>
      </c>
      <c r="W288" s="6">
        <v>2.3820000000000001</v>
      </c>
      <c r="X288" s="5">
        <v>100</v>
      </c>
      <c r="Z288" s="6">
        <f t="shared" si="78"/>
        <v>2.4057724957555178</v>
      </c>
      <c r="AA288" s="6">
        <f t="shared" si="79"/>
        <v>4.8297872340425529</v>
      </c>
      <c r="AB288" s="13">
        <f t="shared" si="81"/>
        <v>1.0075826964368835</v>
      </c>
      <c r="AC288" t="s">
        <v>31</v>
      </c>
      <c r="AE288" t="s">
        <v>645</v>
      </c>
      <c r="AF288" s="9">
        <v>0.37708333333333338</v>
      </c>
      <c r="AG288" s="9">
        <v>0.4236111111111111</v>
      </c>
      <c r="AH288" s="9">
        <f t="shared" si="83"/>
        <v>4.6527777777777724E-2</v>
      </c>
      <c r="AI288" s="9">
        <f t="shared" si="84"/>
        <v>0.37708333333333338</v>
      </c>
      <c r="AJ288" s="9">
        <v>0.52083333333333337</v>
      </c>
      <c r="AK288" s="9">
        <f t="shared" si="82"/>
        <v>0.14374999999999999</v>
      </c>
      <c r="AM288" t="b">
        <v>1</v>
      </c>
    </row>
    <row r="289" spans="1:39" x14ac:dyDescent="0.3">
      <c r="A289" s="3" t="s">
        <v>647</v>
      </c>
      <c r="B289" t="s">
        <v>648</v>
      </c>
      <c r="C289" t="s">
        <v>52</v>
      </c>
      <c r="D289">
        <v>55</v>
      </c>
      <c r="E289" s="1">
        <v>24245</v>
      </c>
      <c r="F289" s="2">
        <v>44379.433148148149</v>
      </c>
      <c r="G289" t="s">
        <v>30</v>
      </c>
      <c r="H289" s="5">
        <v>2306</v>
      </c>
      <c r="I289" s="6">
        <f t="shared" si="74"/>
        <v>23.06</v>
      </c>
      <c r="J289" s="6">
        <v>5.665</v>
      </c>
      <c r="K289" s="5">
        <v>100</v>
      </c>
      <c r="L289" s="5">
        <v>1314</v>
      </c>
      <c r="M289" s="6">
        <f t="shared" si="75"/>
        <v>13.14</v>
      </c>
      <c r="N289" s="6">
        <v>3.9470000000000001</v>
      </c>
      <c r="O289" s="5">
        <v>100</v>
      </c>
      <c r="P289"/>
      <c r="Q289" s="5">
        <v>1612</v>
      </c>
      <c r="R289" s="6">
        <f t="shared" si="76"/>
        <v>16.282828282828284</v>
      </c>
      <c r="S289" s="6">
        <v>4.4329999999999998</v>
      </c>
      <c r="T289" s="5">
        <v>99</v>
      </c>
      <c r="U289" s="5">
        <v>605</v>
      </c>
      <c r="V289" s="6">
        <f t="shared" si="77"/>
        <v>6.1111111111111107</v>
      </c>
      <c r="W289" s="6">
        <v>2.4409999999999998</v>
      </c>
      <c r="X289" s="5">
        <v>99</v>
      </c>
      <c r="Z289" s="6">
        <f t="shared" si="78"/>
        <v>1.754946727549467</v>
      </c>
      <c r="AA289" s="6">
        <f t="shared" si="79"/>
        <v>2.6644628099173557</v>
      </c>
      <c r="AB289" s="13">
        <f t="shared" ref="AB289:AB304" si="85">(AA289-Z289)/Z289</f>
        <v>0.51825851354354113</v>
      </c>
      <c r="AC289" t="s">
        <v>40</v>
      </c>
      <c r="AE289" t="s">
        <v>677</v>
      </c>
      <c r="AF289" s="9">
        <v>0.37638888888888888</v>
      </c>
      <c r="AG289" s="9">
        <v>0.44444444444444442</v>
      </c>
      <c r="AH289" s="9">
        <f>AG289-AF289</f>
        <v>6.8055555555555536E-2</v>
      </c>
      <c r="AI289" s="9">
        <f>AF289</f>
        <v>0.37638888888888888</v>
      </c>
      <c r="AJ289" s="9">
        <v>0.51736111111111105</v>
      </c>
      <c r="AK289" s="9">
        <f>AJ289-AI289</f>
        <v>0.14097222222222217</v>
      </c>
      <c r="AM289" t="b">
        <v>1</v>
      </c>
    </row>
    <row r="290" spans="1:39" x14ac:dyDescent="0.3">
      <c r="A290" s="3" t="s">
        <v>649</v>
      </c>
      <c r="B290" t="s">
        <v>650</v>
      </c>
      <c r="C290" t="s">
        <v>29</v>
      </c>
      <c r="D290">
        <v>47</v>
      </c>
      <c r="E290" s="1">
        <v>27050</v>
      </c>
      <c r="F290" s="2">
        <v>44382.434351851851</v>
      </c>
      <c r="G290" t="s">
        <v>30</v>
      </c>
      <c r="H290" s="5">
        <v>2855</v>
      </c>
      <c r="I290" s="6">
        <f t="shared" si="74"/>
        <v>28.55</v>
      </c>
      <c r="J290" s="6">
        <v>2.0270000000000001</v>
      </c>
      <c r="K290" s="5">
        <v>100</v>
      </c>
      <c r="L290" s="5">
        <v>1476</v>
      </c>
      <c r="M290" s="6">
        <f t="shared" si="75"/>
        <v>14.76</v>
      </c>
      <c r="N290" s="6">
        <v>1.518</v>
      </c>
      <c r="O290" s="5">
        <v>100</v>
      </c>
      <c r="P290"/>
      <c r="Q290" s="5">
        <v>1852</v>
      </c>
      <c r="R290" s="6">
        <f t="shared" si="76"/>
        <v>18.52</v>
      </c>
      <c r="S290" s="6">
        <v>2.0910000000000002</v>
      </c>
      <c r="T290" s="5">
        <v>100</v>
      </c>
      <c r="U290" s="5">
        <v>437</v>
      </c>
      <c r="V290" s="6">
        <f t="shared" si="77"/>
        <v>4.37</v>
      </c>
      <c r="W290" s="6">
        <v>0.69099999999999995</v>
      </c>
      <c r="X290" s="5">
        <v>100</v>
      </c>
      <c r="Z290" s="6">
        <f t="shared" si="78"/>
        <v>1.9342818428184283</v>
      </c>
      <c r="AA290" s="6">
        <f t="shared" si="79"/>
        <v>4.2379862700228834</v>
      </c>
      <c r="AB290" s="13">
        <f t="shared" si="85"/>
        <v>1.1909869473042998</v>
      </c>
      <c r="AC290" t="s">
        <v>53</v>
      </c>
      <c r="AE290" t="s">
        <v>678</v>
      </c>
      <c r="AF290" s="9">
        <v>0.39999999999999997</v>
      </c>
      <c r="AG290" s="9">
        <v>0.44444444444444442</v>
      </c>
      <c r="AH290" s="9">
        <f>AG290-AF290</f>
        <v>4.4444444444444453E-2</v>
      </c>
      <c r="AI290" s="9">
        <f>AF290</f>
        <v>0.39999999999999997</v>
      </c>
      <c r="AJ290" s="9">
        <v>0.53611111111111109</v>
      </c>
      <c r="AK290" s="9">
        <f>AJ290-AI290</f>
        <v>0.13611111111111113</v>
      </c>
      <c r="AM290" t="b">
        <v>1</v>
      </c>
    </row>
    <row r="291" spans="1:39" x14ac:dyDescent="0.3">
      <c r="A291" s="3" t="s">
        <v>651</v>
      </c>
      <c r="B291" t="s">
        <v>652</v>
      </c>
      <c r="C291" t="s">
        <v>29</v>
      </c>
      <c r="D291">
        <v>54</v>
      </c>
      <c r="E291" s="1">
        <v>24632</v>
      </c>
      <c r="F291" s="2">
        <v>44385.43917824074</v>
      </c>
      <c r="G291" t="s">
        <v>30</v>
      </c>
      <c r="H291" s="5">
        <v>2991</v>
      </c>
      <c r="I291" s="6">
        <f t="shared" si="74"/>
        <v>30.212121212121211</v>
      </c>
      <c r="J291" s="6">
        <v>6.1749999999999998</v>
      </c>
      <c r="K291" s="5">
        <v>99</v>
      </c>
      <c r="L291" s="5">
        <v>1157</v>
      </c>
      <c r="M291" s="6">
        <f t="shared" si="75"/>
        <v>11.686868686868687</v>
      </c>
      <c r="N291" s="6">
        <v>3.6720000000000002</v>
      </c>
      <c r="O291" s="5">
        <v>99</v>
      </c>
      <c r="P291"/>
      <c r="Q291" s="5">
        <v>2213</v>
      </c>
      <c r="R291" s="6">
        <f t="shared" si="76"/>
        <v>22.13</v>
      </c>
      <c r="S291" s="6">
        <v>5.3360000000000003</v>
      </c>
      <c r="T291" s="5">
        <v>100</v>
      </c>
      <c r="U291" s="5">
        <v>473</v>
      </c>
      <c r="V291" s="6">
        <f t="shared" si="77"/>
        <v>4.7300000000000004</v>
      </c>
      <c r="W291" s="6">
        <v>2.1779999999999999</v>
      </c>
      <c r="X291" s="5">
        <v>100</v>
      </c>
      <c r="Z291" s="6">
        <f t="shared" si="78"/>
        <v>2.5851339671564388</v>
      </c>
      <c r="AA291" s="6">
        <f t="shared" si="79"/>
        <v>4.678646934460887</v>
      </c>
      <c r="AB291" s="13">
        <f t="shared" si="85"/>
        <v>0.80982765067577622</v>
      </c>
      <c r="AC291" t="s">
        <v>40</v>
      </c>
      <c r="AE291" t="s">
        <v>678</v>
      </c>
      <c r="AF291" s="9">
        <v>0.39097222222222222</v>
      </c>
      <c r="AG291" s="9">
        <v>0.44444444444444442</v>
      </c>
      <c r="AH291" s="9">
        <f>AG291-AF291</f>
        <v>5.3472222222222199E-2</v>
      </c>
      <c r="AI291" s="9">
        <f>AF291</f>
        <v>0.39097222222222222</v>
      </c>
      <c r="AJ291" s="9">
        <v>0.51944444444444449</v>
      </c>
      <c r="AK291" s="9">
        <f>AJ291-AI291</f>
        <v>0.12847222222222227</v>
      </c>
      <c r="AM291" t="b">
        <v>1</v>
      </c>
    </row>
    <row r="292" spans="1:39" x14ac:dyDescent="0.3">
      <c r="A292" s="3" t="s">
        <v>653</v>
      </c>
      <c r="B292" t="s">
        <v>654</v>
      </c>
      <c r="C292" t="s">
        <v>29</v>
      </c>
      <c r="D292">
        <v>31</v>
      </c>
      <c r="E292" s="1">
        <v>32925</v>
      </c>
      <c r="F292" s="2">
        <v>44385.425381944442</v>
      </c>
      <c r="G292" t="s">
        <v>30</v>
      </c>
      <c r="H292" s="5">
        <v>2037</v>
      </c>
      <c r="I292" s="6">
        <f t="shared" si="74"/>
        <v>20.575757575757574</v>
      </c>
      <c r="J292" s="6">
        <v>5.3470000000000004</v>
      </c>
      <c r="K292" s="5">
        <v>99</v>
      </c>
      <c r="L292" s="5">
        <v>1351</v>
      </c>
      <c r="M292" s="6">
        <f t="shared" si="75"/>
        <v>13.646464646464647</v>
      </c>
      <c r="N292" s="6">
        <v>3.6120000000000001</v>
      </c>
      <c r="O292" s="5">
        <v>99</v>
      </c>
      <c r="P292"/>
      <c r="Q292" s="5">
        <v>1272</v>
      </c>
      <c r="R292" s="6">
        <f t="shared" si="76"/>
        <v>12.848484848484848</v>
      </c>
      <c r="S292" s="6">
        <v>3.754</v>
      </c>
      <c r="T292" s="5">
        <v>99</v>
      </c>
      <c r="U292" s="5">
        <v>278</v>
      </c>
      <c r="V292" s="6">
        <f t="shared" si="77"/>
        <v>2.808080808080808</v>
      </c>
      <c r="W292" s="7">
        <v>1.6020000000000001</v>
      </c>
      <c r="X292" s="5">
        <v>99</v>
      </c>
      <c r="Z292" s="6">
        <f t="shared" si="78"/>
        <v>1.5077720207253884</v>
      </c>
      <c r="AA292" s="6">
        <f t="shared" si="79"/>
        <v>4.5755395683453237</v>
      </c>
      <c r="AB292" s="13">
        <f t="shared" si="85"/>
        <v>2.0346362085589265</v>
      </c>
      <c r="AC292" t="s">
        <v>31</v>
      </c>
      <c r="AE292" t="s">
        <v>678</v>
      </c>
      <c r="AF292" s="9">
        <v>0.39374999999999999</v>
      </c>
      <c r="AG292" s="9">
        <v>0.44444444444444442</v>
      </c>
      <c r="AH292" s="9">
        <f t="shared" ref="AH292:AH304" si="86">AG292-AF292</f>
        <v>5.0694444444444431E-2</v>
      </c>
      <c r="AI292" s="9">
        <f t="shared" ref="AI292:AI304" si="87">AF292</f>
        <v>0.39374999999999999</v>
      </c>
      <c r="AJ292" s="9">
        <v>0.53472222222222221</v>
      </c>
      <c r="AK292" s="9">
        <f t="shared" ref="AK292:AK304" si="88">AJ292-AI292</f>
        <v>0.14097222222222222</v>
      </c>
      <c r="AM292" t="b">
        <v>1</v>
      </c>
    </row>
    <row r="293" spans="1:39" x14ac:dyDescent="0.3">
      <c r="A293" s="3" t="s">
        <v>655</v>
      </c>
      <c r="B293" t="s">
        <v>656</v>
      </c>
      <c r="C293" t="s">
        <v>29</v>
      </c>
      <c r="D293">
        <v>49</v>
      </c>
      <c r="E293" s="1">
        <v>26466</v>
      </c>
      <c r="F293" s="2">
        <v>44385.434791666667</v>
      </c>
      <c r="G293" t="s">
        <v>30</v>
      </c>
      <c r="H293" s="5">
        <v>1466</v>
      </c>
      <c r="I293" s="6">
        <f t="shared" si="74"/>
        <v>14.808080808080808</v>
      </c>
      <c r="J293" s="6">
        <v>1.218</v>
      </c>
      <c r="K293" s="5">
        <v>99</v>
      </c>
      <c r="L293" s="5">
        <v>934</v>
      </c>
      <c r="M293" s="6">
        <f t="shared" si="75"/>
        <v>9.4343434343434343</v>
      </c>
      <c r="N293" s="6">
        <v>0.96</v>
      </c>
      <c r="O293" s="5">
        <v>99</v>
      </c>
      <c r="P293"/>
      <c r="Q293" s="5">
        <v>1138</v>
      </c>
      <c r="R293" s="6">
        <f t="shared" si="76"/>
        <v>11.38</v>
      </c>
      <c r="S293" s="6">
        <v>0.98199999999999998</v>
      </c>
      <c r="T293" s="5">
        <v>100</v>
      </c>
      <c r="U293" s="5">
        <v>403</v>
      </c>
      <c r="V293" s="6">
        <f t="shared" si="77"/>
        <v>4.03</v>
      </c>
      <c r="W293" s="7">
        <v>0.55900000000000005</v>
      </c>
      <c r="X293" s="5">
        <v>100</v>
      </c>
      <c r="Z293" s="6">
        <f t="shared" si="78"/>
        <v>1.5695931477516061</v>
      </c>
      <c r="AA293" s="6">
        <f t="shared" si="79"/>
        <v>2.8238213399503724</v>
      </c>
      <c r="AB293" s="13">
        <f t="shared" si="85"/>
        <v>0.79907853445678567</v>
      </c>
      <c r="AC293" t="s">
        <v>39</v>
      </c>
      <c r="AE293" t="s">
        <v>678</v>
      </c>
      <c r="AF293" s="9">
        <v>0.37361111111111112</v>
      </c>
      <c r="AG293" s="9">
        <v>0.44444444444444442</v>
      </c>
      <c r="AH293" s="9">
        <f t="shared" si="86"/>
        <v>7.0833333333333304E-2</v>
      </c>
      <c r="AI293" s="9">
        <f t="shared" si="87"/>
        <v>0.37361111111111112</v>
      </c>
      <c r="AJ293" s="9">
        <v>0.51736111111111105</v>
      </c>
      <c r="AK293" s="9">
        <f t="shared" si="88"/>
        <v>0.14374999999999993</v>
      </c>
      <c r="AM293" t="b">
        <v>1</v>
      </c>
    </row>
    <row r="294" spans="1:39" x14ac:dyDescent="0.3">
      <c r="A294" s="3" t="s">
        <v>657</v>
      </c>
      <c r="B294" t="s">
        <v>658</v>
      </c>
      <c r="C294" t="s">
        <v>29</v>
      </c>
      <c r="D294">
        <v>48</v>
      </c>
      <c r="E294" s="1">
        <v>26698</v>
      </c>
      <c r="F294" s="2">
        <v>44386.426041666666</v>
      </c>
      <c r="G294" t="s">
        <v>30</v>
      </c>
      <c r="H294" s="5">
        <v>2619</v>
      </c>
      <c r="I294" s="6">
        <f t="shared" ref="I294:I334" si="89">H294/K294</f>
        <v>26.19</v>
      </c>
      <c r="J294" s="6">
        <v>4.3029999999999999</v>
      </c>
      <c r="K294" s="5">
        <v>100</v>
      </c>
      <c r="L294" s="5">
        <v>1429</v>
      </c>
      <c r="M294" s="6">
        <f t="shared" ref="M294:M334" si="90">L294/O294</f>
        <v>14.29</v>
      </c>
      <c r="N294" s="6">
        <v>4.2549999999999999</v>
      </c>
      <c r="O294" s="5">
        <v>100</v>
      </c>
      <c r="P294"/>
      <c r="Q294" s="5">
        <v>1495</v>
      </c>
      <c r="R294" s="6">
        <f t="shared" ref="R294:R334" si="91">Q294/T294</f>
        <v>15.1010101010101</v>
      </c>
      <c r="S294" s="6">
        <v>4.7839999999999998</v>
      </c>
      <c r="T294" s="5">
        <v>99</v>
      </c>
      <c r="U294" s="5">
        <v>515</v>
      </c>
      <c r="V294" s="6">
        <f t="shared" ref="V294:V334" si="92">U294/X294</f>
        <v>5.2020202020202024</v>
      </c>
      <c r="W294" s="7">
        <v>2.5190000000000001</v>
      </c>
      <c r="X294" s="5">
        <v>99</v>
      </c>
      <c r="Z294" s="6">
        <f t="shared" ref="Z294:Z334" si="93">I294/M294</f>
        <v>1.8327501749475159</v>
      </c>
      <c r="AA294" s="6">
        <f t="shared" ref="AA294:AA334" si="94">R294/V294</f>
        <v>2.9029126213592229</v>
      </c>
      <c r="AB294" s="13">
        <f t="shared" si="85"/>
        <v>0.58391070481952234</v>
      </c>
      <c r="AC294" t="s">
        <v>40</v>
      </c>
      <c r="AE294" t="s">
        <v>677</v>
      </c>
      <c r="AF294" s="9">
        <v>0.38194444444444442</v>
      </c>
      <c r="AG294" s="9">
        <v>0.44444444444444442</v>
      </c>
      <c r="AH294" s="9">
        <f t="shared" si="86"/>
        <v>6.25E-2</v>
      </c>
      <c r="AI294" s="9">
        <f t="shared" si="87"/>
        <v>0.38194444444444442</v>
      </c>
      <c r="AJ294" s="9">
        <v>0.52222222222222225</v>
      </c>
      <c r="AK294" s="9">
        <f t="shared" si="88"/>
        <v>0.14027777777777783</v>
      </c>
      <c r="AM294" t="b">
        <v>1</v>
      </c>
    </row>
    <row r="295" spans="1:39" x14ac:dyDescent="0.3">
      <c r="A295" s="3" t="s">
        <v>659</v>
      </c>
      <c r="B295" t="s">
        <v>660</v>
      </c>
      <c r="C295" t="s">
        <v>29</v>
      </c>
      <c r="D295">
        <v>62</v>
      </c>
      <c r="E295" s="1">
        <v>21737</v>
      </c>
      <c r="F295" s="2">
        <v>44386.44121527778</v>
      </c>
      <c r="G295" t="s">
        <v>30</v>
      </c>
      <c r="H295" s="5">
        <v>2483</v>
      </c>
      <c r="I295" s="6">
        <f t="shared" si="89"/>
        <v>25.08080808080808</v>
      </c>
      <c r="J295" s="6">
        <v>5.3639999999999999</v>
      </c>
      <c r="K295" s="5">
        <v>99</v>
      </c>
      <c r="L295" s="5">
        <v>794</v>
      </c>
      <c r="M295" s="6">
        <f t="shared" si="90"/>
        <v>8.0202020202020208</v>
      </c>
      <c r="N295" s="6">
        <v>2.8180000000000001</v>
      </c>
      <c r="O295" s="5">
        <v>99</v>
      </c>
      <c r="P295"/>
      <c r="Q295" s="5">
        <v>1831</v>
      </c>
      <c r="R295" s="6">
        <f t="shared" si="91"/>
        <v>18.309999999999999</v>
      </c>
      <c r="S295" s="6">
        <v>4.109</v>
      </c>
      <c r="T295" s="5">
        <v>100</v>
      </c>
      <c r="U295" s="5">
        <v>418</v>
      </c>
      <c r="V295" s="6">
        <f t="shared" si="92"/>
        <v>4.18</v>
      </c>
      <c r="W295" s="6">
        <v>2.1150000000000002</v>
      </c>
      <c r="X295" s="5">
        <v>100</v>
      </c>
      <c r="Z295" s="6">
        <f t="shared" si="93"/>
        <v>3.1272040302266997</v>
      </c>
      <c r="AA295" s="6">
        <f t="shared" si="94"/>
        <v>4.3803827751196174</v>
      </c>
      <c r="AB295" s="13">
        <f t="shared" si="85"/>
        <v>0.40073456441601968</v>
      </c>
      <c r="AC295" t="s">
        <v>31</v>
      </c>
      <c r="AE295" t="s">
        <v>677</v>
      </c>
      <c r="AF295" s="9">
        <v>0.38819444444444445</v>
      </c>
      <c r="AG295" s="9">
        <v>0.44444444444444442</v>
      </c>
      <c r="AH295" s="9">
        <f t="shared" si="86"/>
        <v>5.6249999999999967E-2</v>
      </c>
      <c r="AI295" s="9">
        <f t="shared" si="87"/>
        <v>0.38819444444444445</v>
      </c>
      <c r="AJ295" s="9">
        <v>0.53472222222222221</v>
      </c>
      <c r="AK295" s="9">
        <f t="shared" si="88"/>
        <v>0.14652777777777776</v>
      </c>
      <c r="AM295" t="b">
        <v>1</v>
      </c>
    </row>
    <row r="296" spans="1:39" x14ac:dyDescent="0.3">
      <c r="A296" s="3" t="s">
        <v>661</v>
      </c>
      <c r="B296" t="s">
        <v>436</v>
      </c>
      <c r="C296" t="s">
        <v>29</v>
      </c>
      <c r="D296">
        <v>52</v>
      </c>
      <c r="E296" s="1">
        <v>25262</v>
      </c>
      <c r="F296" s="2">
        <v>44389.439571759256</v>
      </c>
      <c r="G296" t="s">
        <v>30</v>
      </c>
      <c r="H296" s="5">
        <v>3509</v>
      </c>
      <c r="I296" s="6">
        <f t="shared" si="89"/>
        <v>35.090000000000003</v>
      </c>
      <c r="J296" s="6">
        <v>6.2720000000000002</v>
      </c>
      <c r="K296" s="5">
        <v>100</v>
      </c>
      <c r="L296" s="5">
        <v>1166</v>
      </c>
      <c r="M296" s="6">
        <f t="shared" si="90"/>
        <v>11.66</v>
      </c>
      <c r="N296" s="6">
        <v>3.851</v>
      </c>
      <c r="O296" s="5">
        <v>100</v>
      </c>
      <c r="P296"/>
      <c r="Q296" s="5">
        <v>2206</v>
      </c>
      <c r="R296" s="6">
        <f t="shared" si="91"/>
        <v>22.282828282828284</v>
      </c>
      <c r="S296" s="6">
        <v>4.649</v>
      </c>
      <c r="T296" s="5">
        <v>99</v>
      </c>
      <c r="U296" s="5">
        <v>374</v>
      </c>
      <c r="V296" s="6">
        <f t="shared" si="92"/>
        <v>3.7777777777777777</v>
      </c>
      <c r="W296" s="6">
        <v>2.15</v>
      </c>
      <c r="X296" s="5">
        <v>99</v>
      </c>
      <c r="Z296" s="6">
        <f t="shared" si="93"/>
        <v>3.0094339622641511</v>
      </c>
      <c r="AA296" s="6">
        <f t="shared" si="94"/>
        <v>5.8983957219251337</v>
      </c>
      <c r="AB296" s="13">
        <f t="shared" si="85"/>
        <v>0.95996848440145499</v>
      </c>
      <c r="AC296" t="s">
        <v>40</v>
      </c>
      <c r="AE296" t="s">
        <v>678</v>
      </c>
      <c r="AF296" s="9">
        <v>0.39652777777777781</v>
      </c>
      <c r="AG296" s="9">
        <v>0.44444444444444442</v>
      </c>
      <c r="AH296" s="9">
        <f t="shared" si="86"/>
        <v>4.7916666666666607E-2</v>
      </c>
      <c r="AI296" s="9">
        <f t="shared" si="87"/>
        <v>0.39652777777777781</v>
      </c>
      <c r="AJ296" s="9">
        <v>0.52986111111111112</v>
      </c>
      <c r="AK296" s="9">
        <f t="shared" si="88"/>
        <v>0.1333333333333333</v>
      </c>
      <c r="AM296" t="b">
        <v>1</v>
      </c>
    </row>
    <row r="297" spans="1:39" x14ac:dyDescent="0.3">
      <c r="A297" s="3" t="s">
        <v>662</v>
      </c>
      <c r="B297" t="s">
        <v>663</v>
      </c>
      <c r="C297" t="s">
        <v>29</v>
      </c>
      <c r="D297">
        <v>46</v>
      </c>
      <c r="E297" s="1">
        <v>27385</v>
      </c>
      <c r="F297" s="2">
        <v>44389.443310185183</v>
      </c>
      <c r="G297" t="s">
        <v>30</v>
      </c>
      <c r="H297" s="5">
        <v>1687</v>
      </c>
      <c r="I297" s="6">
        <f t="shared" si="89"/>
        <v>17.040404040404042</v>
      </c>
      <c r="J297" s="6">
        <v>4.1749999999999998</v>
      </c>
      <c r="K297" s="5">
        <v>99</v>
      </c>
      <c r="L297" s="5">
        <v>915</v>
      </c>
      <c r="M297" s="6">
        <f t="shared" si="90"/>
        <v>9.2424242424242422</v>
      </c>
      <c r="N297" s="6">
        <v>2.9630000000000001</v>
      </c>
      <c r="O297" s="5">
        <v>99</v>
      </c>
      <c r="P297"/>
      <c r="Q297" s="5">
        <v>1157</v>
      </c>
      <c r="R297" s="6">
        <f t="shared" si="91"/>
        <v>11.57</v>
      </c>
      <c r="S297" s="6">
        <v>3.7450000000000001</v>
      </c>
      <c r="T297" s="5">
        <v>100</v>
      </c>
      <c r="U297" s="5">
        <v>383</v>
      </c>
      <c r="V297" s="6">
        <f t="shared" si="92"/>
        <v>3.83</v>
      </c>
      <c r="W297" s="6">
        <v>1.8859999999999999</v>
      </c>
      <c r="X297" s="5">
        <v>100</v>
      </c>
      <c r="Z297" s="6">
        <f t="shared" si="93"/>
        <v>1.8437158469945356</v>
      </c>
      <c r="AA297" s="6">
        <f t="shared" si="94"/>
        <v>3.0208877284595301</v>
      </c>
      <c r="AB297" s="13">
        <f t="shared" si="85"/>
        <v>0.63847793215202719</v>
      </c>
      <c r="AC297" t="s">
        <v>31</v>
      </c>
      <c r="AE297" t="s">
        <v>677</v>
      </c>
      <c r="AF297" s="9">
        <v>0.39027777777777778</v>
      </c>
      <c r="AG297" s="9">
        <v>0.44444444444444442</v>
      </c>
      <c r="AH297" s="9">
        <f t="shared" si="86"/>
        <v>5.4166666666666641E-2</v>
      </c>
      <c r="AI297" s="9">
        <f t="shared" si="87"/>
        <v>0.39027777777777778</v>
      </c>
      <c r="AJ297" s="9">
        <v>0.52083333333333337</v>
      </c>
      <c r="AK297" s="9">
        <f t="shared" si="88"/>
        <v>0.13055555555555559</v>
      </c>
      <c r="AM297" t="b">
        <v>1</v>
      </c>
    </row>
    <row r="298" spans="1:39" x14ac:dyDescent="0.3">
      <c r="A298" s="3" t="s">
        <v>664</v>
      </c>
      <c r="B298" t="s">
        <v>665</v>
      </c>
      <c r="C298" t="s">
        <v>29</v>
      </c>
      <c r="D298">
        <v>51</v>
      </c>
      <c r="E298" s="1">
        <v>25466</v>
      </c>
      <c r="F298" s="2">
        <v>44390.435335648152</v>
      </c>
      <c r="G298" t="s">
        <v>30</v>
      </c>
      <c r="H298" s="5">
        <v>2070</v>
      </c>
      <c r="I298" s="6">
        <f t="shared" si="89"/>
        <v>20.7</v>
      </c>
      <c r="J298" s="6">
        <v>1.9570000000000001</v>
      </c>
      <c r="K298" s="5">
        <v>100</v>
      </c>
      <c r="L298" s="5">
        <v>914</v>
      </c>
      <c r="M298" s="6">
        <f t="shared" si="90"/>
        <v>9.14</v>
      </c>
      <c r="N298" s="6">
        <v>1.073</v>
      </c>
      <c r="O298" s="5">
        <v>100</v>
      </c>
      <c r="P298"/>
      <c r="Q298" s="5">
        <v>1475</v>
      </c>
      <c r="R298" s="6">
        <f t="shared" si="91"/>
        <v>14.8989898989899</v>
      </c>
      <c r="S298" s="6">
        <v>1.5489999999999999</v>
      </c>
      <c r="T298" s="5">
        <v>99</v>
      </c>
      <c r="U298" s="5">
        <v>379</v>
      </c>
      <c r="V298" s="6">
        <f t="shared" si="92"/>
        <v>3.8282828282828283</v>
      </c>
      <c r="W298" s="7">
        <v>0.45300000000000001</v>
      </c>
      <c r="X298" s="5">
        <v>99</v>
      </c>
      <c r="Z298" s="6">
        <f t="shared" si="93"/>
        <v>2.2647702407002188</v>
      </c>
      <c r="AA298" s="6">
        <f t="shared" si="94"/>
        <v>3.8918205804749344</v>
      </c>
      <c r="AB298" s="13">
        <f t="shared" si="85"/>
        <v>0.718417396402942</v>
      </c>
      <c r="AC298" t="s">
        <v>39</v>
      </c>
      <c r="AE298" t="s">
        <v>678</v>
      </c>
      <c r="AF298" s="9">
        <v>0.37222222222222223</v>
      </c>
      <c r="AG298" s="9">
        <v>0.44444444444444442</v>
      </c>
      <c r="AH298" s="9">
        <f t="shared" si="86"/>
        <v>7.2222222222222188E-2</v>
      </c>
      <c r="AI298" s="9">
        <f t="shared" si="87"/>
        <v>0.37222222222222223</v>
      </c>
      <c r="AJ298" s="9">
        <v>0.51736111111111105</v>
      </c>
      <c r="AK298" s="9">
        <f t="shared" si="88"/>
        <v>0.14513888888888882</v>
      </c>
      <c r="AM298" t="b">
        <v>1</v>
      </c>
    </row>
    <row r="299" spans="1:39" x14ac:dyDescent="0.3">
      <c r="A299" s="3" t="s">
        <v>666</v>
      </c>
      <c r="B299" t="s">
        <v>667</v>
      </c>
      <c r="C299" t="s">
        <v>29</v>
      </c>
      <c r="D299">
        <v>64</v>
      </c>
      <c r="E299" s="1">
        <v>20707</v>
      </c>
      <c r="F299" s="2">
        <v>44391.441493055558</v>
      </c>
      <c r="G299" t="s">
        <v>30</v>
      </c>
      <c r="H299" s="5">
        <v>1736</v>
      </c>
      <c r="I299" s="6">
        <f t="shared" si="89"/>
        <v>17.36</v>
      </c>
      <c r="J299" s="6">
        <v>4.4420000000000002</v>
      </c>
      <c r="K299" s="5">
        <v>100</v>
      </c>
      <c r="L299" s="5">
        <v>774</v>
      </c>
      <c r="M299" s="6">
        <f t="shared" si="90"/>
        <v>7.74</v>
      </c>
      <c r="N299" s="6">
        <v>2.8090000000000002</v>
      </c>
      <c r="O299" s="5">
        <v>100</v>
      </c>
      <c r="P299"/>
      <c r="Q299" s="5">
        <v>1291</v>
      </c>
      <c r="R299" s="6">
        <f t="shared" si="91"/>
        <v>13.04040404040404</v>
      </c>
      <c r="S299" s="6">
        <v>4.4790000000000001</v>
      </c>
      <c r="T299" s="5">
        <v>99</v>
      </c>
      <c r="U299" s="5">
        <v>370</v>
      </c>
      <c r="V299" s="6">
        <f t="shared" si="92"/>
        <v>3.7373737373737375</v>
      </c>
      <c r="W299" s="7">
        <v>1.9139999999999999</v>
      </c>
      <c r="X299" s="5">
        <v>99</v>
      </c>
      <c r="Z299" s="6">
        <f t="shared" si="93"/>
        <v>2.2428940568475451</v>
      </c>
      <c r="AA299" s="6">
        <f t="shared" si="94"/>
        <v>3.4891891891891889</v>
      </c>
      <c r="AB299" s="13">
        <f t="shared" si="85"/>
        <v>0.55566384356706933</v>
      </c>
      <c r="AC299" t="s">
        <v>31</v>
      </c>
      <c r="AE299" t="s">
        <v>677</v>
      </c>
      <c r="AF299" s="9">
        <v>0.37708333333333338</v>
      </c>
      <c r="AG299" s="9">
        <v>0.44444444444444442</v>
      </c>
      <c r="AH299" s="9">
        <f t="shared" si="86"/>
        <v>6.7361111111111038E-2</v>
      </c>
      <c r="AI299" s="9">
        <f t="shared" si="87"/>
        <v>0.37708333333333338</v>
      </c>
      <c r="AJ299" s="9">
        <v>0.52083333333333337</v>
      </c>
      <c r="AK299" s="9">
        <f t="shared" si="88"/>
        <v>0.14374999999999999</v>
      </c>
      <c r="AM299" t="b">
        <v>1</v>
      </c>
    </row>
    <row r="300" spans="1:39" x14ac:dyDescent="0.3">
      <c r="A300" s="3" t="s">
        <v>668</v>
      </c>
      <c r="B300" t="s">
        <v>669</v>
      </c>
      <c r="C300" t="s">
        <v>29</v>
      </c>
      <c r="D300">
        <v>35</v>
      </c>
      <c r="E300" s="1">
        <v>31416</v>
      </c>
      <c r="F300" s="2">
        <v>44392.430046296293</v>
      </c>
      <c r="G300" t="s">
        <v>30</v>
      </c>
      <c r="H300" s="5">
        <v>1840</v>
      </c>
      <c r="I300" s="6">
        <f t="shared" si="89"/>
        <v>18.399999999999999</v>
      </c>
      <c r="J300" s="6">
        <v>0.97399999999999998</v>
      </c>
      <c r="K300" s="5">
        <v>100</v>
      </c>
      <c r="L300" s="5">
        <v>739</v>
      </c>
      <c r="M300" s="6">
        <f t="shared" si="90"/>
        <v>7.39</v>
      </c>
      <c r="N300" s="6">
        <v>0.751</v>
      </c>
      <c r="O300" s="5">
        <v>100</v>
      </c>
      <c r="P300"/>
      <c r="Q300" s="5">
        <v>1232</v>
      </c>
      <c r="R300" s="6">
        <f t="shared" si="91"/>
        <v>12.444444444444445</v>
      </c>
      <c r="S300" s="6">
        <v>1.022</v>
      </c>
      <c r="T300" s="5">
        <v>99</v>
      </c>
      <c r="U300" s="5">
        <v>206</v>
      </c>
      <c r="V300" s="6">
        <f t="shared" si="92"/>
        <v>2.0808080808080809</v>
      </c>
      <c r="W300" s="6">
        <v>0.44400000000000001</v>
      </c>
      <c r="X300" s="5">
        <v>99</v>
      </c>
      <c r="Z300" s="6">
        <f t="shared" si="93"/>
        <v>2.489851150202977</v>
      </c>
      <c r="AA300" s="6">
        <f t="shared" si="94"/>
        <v>5.9805825242718447</v>
      </c>
      <c r="AB300" s="13">
        <f t="shared" si="85"/>
        <v>1.4019839594765724</v>
      </c>
      <c r="AC300" t="s">
        <v>39</v>
      </c>
      <c r="AE300" t="s">
        <v>678</v>
      </c>
      <c r="AF300" s="9">
        <v>0.37986111111111115</v>
      </c>
      <c r="AG300" s="9">
        <v>0.44444444444444442</v>
      </c>
      <c r="AH300" s="9">
        <f t="shared" si="86"/>
        <v>6.458333333333327E-2</v>
      </c>
      <c r="AI300" s="9">
        <f t="shared" si="87"/>
        <v>0.37986111111111115</v>
      </c>
      <c r="AJ300" s="9">
        <v>0.53055555555555556</v>
      </c>
      <c r="AK300" s="9">
        <f t="shared" si="88"/>
        <v>0.15069444444444441</v>
      </c>
      <c r="AM300" t="b">
        <v>1</v>
      </c>
    </row>
    <row r="301" spans="1:39" x14ac:dyDescent="0.3">
      <c r="A301" s="3" t="s">
        <v>670</v>
      </c>
      <c r="B301" t="s">
        <v>671</v>
      </c>
      <c r="C301" t="s">
        <v>29</v>
      </c>
      <c r="D301">
        <v>52</v>
      </c>
      <c r="E301" s="1">
        <v>25218</v>
      </c>
      <c r="F301" s="2">
        <v>44399.439652777779</v>
      </c>
      <c r="G301" t="s">
        <v>30</v>
      </c>
      <c r="H301" s="5">
        <v>2271</v>
      </c>
      <c r="I301" s="6">
        <f t="shared" si="89"/>
        <v>22.71</v>
      </c>
      <c r="J301" s="6">
        <v>4.8520000000000003</v>
      </c>
      <c r="K301" s="5">
        <v>100</v>
      </c>
      <c r="L301" s="5">
        <v>789</v>
      </c>
      <c r="M301" s="6">
        <f t="shared" si="90"/>
        <v>7.89</v>
      </c>
      <c r="N301" s="6">
        <v>2.7629999999999999</v>
      </c>
      <c r="O301" s="5">
        <v>100</v>
      </c>
      <c r="P301"/>
      <c r="Q301" s="5">
        <v>2055</v>
      </c>
      <c r="R301" s="6">
        <f t="shared" si="91"/>
        <v>20.757575757575758</v>
      </c>
      <c r="S301" s="6">
        <v>5.8330000000000002</v>
      </c>
      <c r="T301" s="5">
        <v>99</v>
      </c>
      <c r="U301" s="5">
        <v>342</v>
      </c>
      <c r="V301" s="6">
        <f t="shared" si="92"/>
        <v>3.4545454545454546</v>
      </c>
      <c r="W301" s="6">
        <v>1.8029999999999999</v>
      </c>
      <c r="X301" s="5">
        <v>99</v>
      </c>
      <c r="Z301" s="6">
        <f t="shared" si="93"/>
        <v>2.8783269961977189</v>
      </c>
      <c r="AA301" s="6">
        <f t="shared" si="94"/>
        <v>6.0087719298245617</v>
      </c>
      <c r="AB301" s="13">
        <f t="shared" si="85"/>
        <v>1.0875918329509373</v>
      </c>
      <c r="AC301" t="s">
        <v>31</v>
      </c>
      <c r="AE301" t="s">
        <v>678</v>
      </c>
      <c r="AF301" s="9">
        <v>0.3743055555555555</v>
      </c>
      <c r="AG301" s="9">
        <v>0.44444444444444442</v>
      </c>
      <c r="AH301" s="9">
        <f t="shared" si="86"/>
        <v>7.0138888888888917E-2</v>
      </c>
      <c r="AI301" s="9">
        <f t="shared" si="87"/>
        <v>0.3743055555555555</v>
      </c>
      <c r="AJ301" s="9">
        <v>0.52083333333333337</v>
      </c>
      <c r="AK301" s="9">
        <f t="shared" si="88"/>
        <v>0.14652777777777787</v>
      </c>
      <c r="AM301" t="b">
        <v>1</v>
      </c>
    </row>
    <row r="302" spans="1:39" x14ac:dyDescent="0.3">
      <c r="A302" s="3" t="s">
        <v>672</v>
      </c>
      <c r="B302" t="s">
        <v>241</v>
      </c>
      <c r="C302" t="s">
        <v>29</v>
      </c>
      <c r="D302">
        <v>63</v>
      </c>
      <c r="E302" s="1">
        <v>21310</v>
      </c>
      <c r="F302" s="2">
        <v>44399.437384259261</v>
      </c>
      <c r="G302" t="s">
        <v>30</v>
      </c>
      <c r="H302" s="5">
        <v>2455</v>
      </c>
      <c r="I302" s="6">
        <f t="shared" si="89"/>
        <v>24.55</v>
      </c>
      <c r="J302" s="6">
        <v>4.8460000000000001</v>
      </c>
      <c r="K302" s="5">
        <v>100</v>
      </c>
      <c r="L302" s="5">
        <v>768</v>
      </c>
      <c r="M302" s="6">
        <f t="shared" si="90"/>
        <v>7.68</v>
      </c>
      <c r="N302" s="6">
        <v>2.9950000000000001</v>
      </c>
      <c r="O302" s="5">
        <v>100</v>
      </c>
      <c r="P302"/>
      <c r="Q302" s="5">
        <v>1834</v>
      </c>
      <c r="R302" s="6">
        <f t="shared" si="91"/>
        <v>18.34</v>
      </c>
      <c r="S302" s="6">
        <v>4.4139999999999997</v>
      </c>
      <c r="T302" s="5">
        <v>100</v>
      </c>
      <c r="U302" s="5">
        <v>383</v>
      </c>
      <c r="V302" s="6">
        <f t="shared" si="92"/>
        <v>3.83</v>
      </c>
      <c r="W302" s="6">
        <v>2.1230000000000002</v>
      </c>
      <c r="X302" s="5">
        <v>100</v>
      </c>
      <c r="Z302" s="6">
        <f t="shared" si="93"/>
        <v>3.1966145833333335</v>
      </c>
      <c r="AA302" s="6">
        <f t="shared" si="94"/>
        <v>4.7885117493472587</v>
      </c>
      <c r="AB302" s="13">
        <f t="shared" si="85"/>
        <v>0.49799471425608738</v>
      </c>
      <c r="AC302" t="s">
        <v>40</v>
      </c>
      <c r="AE302" t="s">
        <v>678</v>
      </c>
      <c r="AF302" s="9">
        <v>0.38194444444444442</v>
      </c>
      <c r="AG302" s="9">
        <v>0.44444444444444442</v>
      </c>
      <c r="AH302" s="9">
        <f t="shared" si="86"/>
        <v>6.25E-2</v>
      </c>
      <c r="AI302" s="9">
        <f t="shared" si="87"/>
        <v>0.38194444444444442</v>
      </c>
      <c r="AJ302" s="9">
        <v>0.51944444444444449</v>
      </c>
      <c r="AK302" s="9">
        <f t="shared" si="88"/>
        <v>0.13750000000000007</v>
      </c>
      <c r="AM302" t="b">
        <v>1</v>
      </c>
    </row>
    <row r="303" spans="1:39" x14ac:dyDescent="0.3">
      <c r="A303" s="3" t="s">
        <v>673</v>
      </c>
      <c r="B303" t="s">
        <v>674</v>
      </c>
      <c r="C303" t="s">
        <v>29</v>
      </c>
      <c r="D303">
        <v>43</v>
      </c>
      <c r="E303" s="1">
        <v>28675</v>
      </c>
      <c r="F303" s="2">
        <v>44400.440798611111</v>
      </c>
      <c r="G303" t="s">
        <v>30</v>
      </c>
      <c r="H303" s="5">
        <v>2983</v>
      </c>
      <c r="I303" s="6">
        <f t="shared" si="89"/>
        <v>30.131313131313131</v>
      </c>
      <c r="J303" s="6">
        <v>6.1870000000000003</v>
      </c>
      <c r="K303" s="5">
        <v>99</v>
      </c>
      <c r="L303" s="5">
        <v>978</v>
      </c>
      <c r="M303" s="6">
        <f t="shared" si="90"/>
        <v>9.8787878787878789</v>
      </c>
      <c r="N303" s="6">
        <v>3.0649999999999999</v>
      </c>
      <c r="O303" s="5">
        <v>99</v>
      </c>
      <c r="P303"/>
      <c r="Q303" s="5">
        <v>2167</v>
      </c>
      <c r="R303" s="6">
        <f t="shared" si="91"/>
        <v>21.888888888888889</v>
      </c>
      <c r="S303" s="6">
        <v>4.33</v>
      </c>
      <c r="T303" s="5">
        <v>99</v>
      </c>
      <c r="U303" s="5">
        <v>351</v>
      </c>
      <c r="V303" s="6">
        <f t="shared" si="92"/>
        <v>3.5454545454545454</v>
      </c>
      <c r="W303" s="6">
        <v>1.8640000000000001</v>
      </c>
      <c r="X303" s="5">
        <v>99</v>
      </c>
      <c r="Z303" s="6">
        <f t="shared" si="93"/>
        <v>3.0501022494887526</v>
      </c>
      <c r="AA303" s="6">
        <f t="shared" si="94"/>
        <v>6.1737891737891744</v>
      </c>
      <c r="AB303" s="13">
        <f t="shared" si="85"/>
        <v>1.0241253141018478</v>
      </c>
      <c r="AC303" t="s">
        <v>31</v>
      </c>
      <c r="AE303" t="s">
        <v>678</v>
      </c>
      <c r="AF303" s="9">
        <v>0.39444444444444443</v>
      </c>
      <c r="AG303" s="9">
        <v>0.44444444444444442</v>
      </c>
      <c r="AH303" s="9">
        <f t="shared" si="86"/>
        <v>4.9999999999999989E-2</v>
      </c>
      <c r="AI303" s="9">
        <f t="shared" si="87"/>
        <v>0.39444444444444443</v>
      </c>
      <c r="AJ303" s="9">
        <v>0.52083333333333337</v>
      </c>
      <c r="AK303" s="9">
        <f t="shared" si="88"/>
        <v>0.12638888888888894</v>
      </c>
      <c r="AM303" t="b">
        <v>1</v>
      </c>
    </row>
    <row r="304" spans="1:39" x14ac:dyDescent="0.3">
      <c r="A304" s="3" t="s">
        <v>675</v>
      </c>
      <c r="B304" t="s">
        <v>676</v>
      </c>
      <c r="C304" t="s">
        <v>52</v>
      </c>
      <c r="D304">
        <v>61</v>
      </c>
      <c r="E304" s="1">
        <v>21886</v>
      </c>
      <c r="F304" s="2">
        <v>44393.430069444446</v>
      </c>
      <c r="G304" t="s">
        <v>30</v>
      </c>
      <c r="H304" s="5">
        <v>2126</v>
      </c>
      <c r="I304" s="6">
        <f t="shared" si="89"/>
        <v>21.26</v>
      </c>
      <c r="J304" s="6">
        <v>1.637</v>
      </c>
      <c r="K304" s="5">
        <v>100</v>
      </c>
      <c r="L304" s="5">
        <v>1373</v>
      </c>
      <c r="M304" s="6">
        <f t="shared" si="90"/>
        <v>13.73</v>
      </c>
      <c r="N304" s="6">
        <v>1.2130000000000001</v>
      </c>
      <c r="O304" s="5">
        <v>100</v>
      </c>
      <c r="P304"/>
      <c r="Q304" s="5">
        <v>1399</v>
      </c>
      <c r="R304" s="6">
        <f t="shared" si="91"/>
        <v>13.99</v>
      </c>
      <c r="S304" s="6">
        <v>1.0960000000000001</v>
      </c>
      <c r="T304" s="5">
        <v>100</v>
      </c>
      <c r="U304" s="5">
        <v>545</v>
      </c>
      <c r="V304" s="6">
        <f t="shared" si="92"/>
        <v>5.45</v>
      </c>
      <c r="W304" s="6">
        <v>0.75700000000000001</v>
      </c>
      <c r="X304" s="5">
        <v>100</v>
      </c>
      <c r="Z304" s="6">
        <f t="shared" si="93"/>
        <v>1.5484340859431902</v>
      </c>
      <c r="AA304" s="6">
        <f t="shared" si="94"/>
        <v>2.5669724770642199</v>
      </c>
      <c r="AB304" s="13">
        <f t="shared" si="85"/>
        <v>0.65778608231852009</v>
      </c>
      <c r="AC304" t="s">
        <v>39</v>
      </c>
      <c r="AE304" t="s">
        <v>677</v>
      </c>
      <c r="AF304" s="9">
        <v>0.37361111111111112</v>
      </c>
      <c r="AG304" s="9">
        <v>0.44444444444444442</v>
      </c>
      <c r="AH304" s="9">
        <f t="shared" si="86"/>
        <v>7.0833333333333304E-2</v>
      </c>
      <c r="AI304" s="9">
        <f t="shared" si="87"/>
        <v>0.37361111111111112</v>
      </c>
      <c r="AJ304" s="9">
        <v>0.51736111111111105</v>
      </c>
      <c r="AK304" s="9">
        <f t="shared" si="88"/>
        <v>0.14374999999999993</v>
      </c>
      <c r="AM304" t="b">
        <v>1</v>
      </c>
    </row>
    <row r="305" spans="1:39" x14ac:dyDescent="0.3">
      <c r="A305" s="3" t="s">
        <v>679</v>
      </c>
      <c r="B305" t="s">
        <v>680</v>
      </c>
      <c r="C305" t="s">
        <v>29</v>
      </c>
      <c r="D305">
        <v>41</v>
      </c>
      <c r="E305" s="1">
        <v>29268</v>
      </c>
      <c r="F305" s="2">
        <v>44410.429189814815</v>
      </c>
      <c r="G305" t="s">
        <v>30</v>
      </c>
      <c r="H305" s="5">
        <v>1773</v>
      </c>
      <c r="I305" s="6">
        <f t="shared" si="89"/>
        <v>17.90909090909091</v>
      </c>
      <c r="J305" s="6">
        <v>4.5270000000000001</v>
      </c>
      <c r="K305" s="5">
        <v>99</v>
      </c>
      <c r="L305" s="5">
        <v>865</v>
      </c>
      <c r="M305" s="6">
        <f t="shared" si="90"/>
        <v>8.737373737373737</v>
      </c>
      <c r="N305" s="6">
        <v>2.9710000000000001</v>
      </c>
      <c r="O305" s="5">
        <v>99</v>
      </c>
      <c r="P305"/>
      <c r="Q305" s="5">
        <v>950</v>
      </c>
      <c r="R305" s="6">
        <f t="shared" si="91"/>
        <v>9.5959595959595951</v>
      </c>
      <c r="S305" s="6">
        <v>3.1749999999999998</v>
      </c>
      <c r="T305" s="5">
        <v>99</v>
      </c>
      <c r="U305" s="5">
        <v>268</v>
      </c>
      <c r="V305" s="6">
        <f t="shared" si="92"/>
        <v>2.7070707070707072</v>
      </c>
      <c r="W305" s="6">
        <v>1.5669999999999999</v>
      </c>
      <c r="X305" s="5">
        <v>99</v>
      </c>
      <c r="Z305" s="6">
        <f t="shared" si="93"/>
        <v>2.0497109826589597</v>
      </c>
      <c r="AA305" s="6">
        <f t="shared" si="94"/>
        <v>3.5447761194029845</v>
      </c>
      <c r="AB305" s="13">
        <f t="shared" ref="AB305:AB323" si="95">(AA305-Z305)/Z305</f>
        <v>0.72940290089316495</v>
      </c>
      <c r="AC305" t="s">
        <v>31</v>
      </c>
      <c r="AE305" t="s">
        <v>716</v>
      </c>
      <c r="AF305" s="9">
        <v>0.39097222222222222</v>
      </c>
      <c r="AG305" s="9">
        <v>0.43055555555555558</v>
      </c>
      <c r="AH305" s="9">
        <f>AG305-AF305</f>
        <v>3.9583333333333359E-2</v>
      </c>
      <c r="AI305" s="9">
        <f>AF305</f>
        <v>0.39097222222222222</v>
      </c>
      <c r="AJ305" s="9">
        <v>0.53472222222222221</v>
      </c>
      <c r="AK305" s="9">
        <f>AJ305-AI305</f>
        <v>0.14374999999999999</v>
      </c>
      <c r="AM305" t="b">
        <v>1</v>
      </c>
    </row>
    <row r="306" spans="1:39" x14ac:dyDescent="0.3">
      <c r="A306" s="3" t="s">
        <v>681</v>
      </c>
      <c r="B306" t="s">
        <v>682</v>
      </c>
      <c r="C306" t="s">
        <v>52</v>
      </c>
      <c r="D306">
        <v>57</v>
      </c>
      <c r="E306" s="1">
        <v>23500</v>
      </c>
      <c r="F306" s="2">
        <v>44411.440162037034</v>
      </c>
      <c r="G306" t="s">
        <v>30</v>
      </c>
      <c r="H306" s="5">
        <v>1570</v>
      </c>
      <c r="I306" s="6">
        <f t="shared" si="89"/>
        <v>15.7</v>
      </c>
      <c r="J306" s="6">
        <v>4.5940000000000003</v>
      </c>
      <c r="K306" s="5">
        <v>100</v>
      </c>
      <c r="L306" s="5">
        <v>725</v>
      </c>
      <c r="M306" s="6">
        <f t="shared" si="90"/>
        <v>7.25</v>
      </c>
      <c r="N306" s="6">
        <v>2.645</v>
      </c>
      <c r="O306" s="5">
        <v>100</v>
      </c>
      <c r="P306"/>
      <c r="Q306" s="5">
        <v>1184</v>
      </c>
      <c r="R306" s="6">
        <f t="shared" si="91"/>
        <v>11.84</v>
      </c>
      <c r="S306" s="6">
        <v>3.5409999999999999</v>
      </c>
      <c r="T306" s="5">
        <v>100</v>
      </c>
      <c r="U306" s="5">
        <v>311</v>
      </c>
      <c r="V306" s="6">
        <f t="shared" si="92"/>
        <v>3.11</v>
      </c>
      <c r="W306" s="6">
        <v>1.639</v>
      </c>
      <c r="X306" s="5">
        <v>100</v>
      </c>
      <c r="Z306" s="6">
        <f t="shared" si="93"/>
        <v>2.1655172413793102</v>
      </c>
      <c r="AA306" s="6">
        <f t="shared" si="94"/>
        <v>3.807073954983923</v>
      </c>
      <c r="AB306" s="13">
        <f t="shared" si="95"/>
        <v>0.75804370532697085</v>
      </c>
      <c r="AC306" t="s">
        <v>31</v>
      </c>
      <c r="AE306" t="s">
        <v>717</v>
      </c>
      <c r="AF306" s="9">
        <v>0.3888888888888889</v>
      </c>
      <c r="AG306" s="9">
        <v>0.44444444444444442</v>
      </c>
      <c r="AH306" s="9">
        <f t="shared" ref="AH306:AH323" si="96">AG306-AF306</f>
        <v>5.5555555555555525E-2</v>
      </c>
      <c r="AI306" s="9">
        <f t="shared" ref="AI306:AI320" si="97">AF306</f>
        <v>0.3888888888888889</v>
      </c>
      <c r="AJ306" s="9">
        <v>0.52083333333333337</v>
      </c>
      <c r="AK306" s="9">
        <f t="shared" ref="AK306:AK323" si="98">AJ306-AI306</f>
        <v>0.13194444444444448</v>
      </c>
      <c r="AM306" t="b">
        <v>1</v>
      </c>
    </row>
    <row r="307" spans="1:39" x14ac:dyDescent="0.3">
      <c r="A307" s="3" t="s">
        <v>683</v>
      </c>
      <c r="B307" t="s">
        <v>684</v>
      </c>
      <c r="C307" t="s">
        <v>29</v>
      </c>
      <c r="D307">
        <v>47</v>
      </c>
      <c r="E307" s="1">
        <v>27123</v>
      </c>
      <c r="F307" s="2">
        <v>44411.423784722225</v>
      </c>
      <c r="G307" t="s">
        <v>30</v>
      </c>
      <c r="H307" s="5">
        <v>2260</v>
      </c>
      <c r="I307" s="6">
        <f t="shared" si="89"/>
        <v>22.828282828282827</v>
      </c>
      <c r="J307" s="6">
        <v>4.6879999999999997</v>
      </c>
      <c r="K307" s="5">
        <v>99</v>
      </c>
      <c r="L307" s="5">
        <v>1458</v>
      </c>
      <c r="M307" s="6">
        <f t="shared" si="90"/>
        <v>14.727272727272727</v>
      </c>
      <c r="N307" s="6">
        <v>3.88</v>
      </c>
      <c r="O307" s="5">
        <v>99</v>
      </c>
      <c r="P307"/>
      <c r="Q307" s="5">
        <v>1094</v>
      </c>
      <c r="R307" s="6">
        <f t="shared" si="91"/>
        <v>11.05050505050505</v>
      </c>
      <c r="S307" s="6">
        <v>3.2959999999999998</v>
      </c>
      <c r="T307" s="5">
        <v>99</v>
      </c>
      <c r="U307" s="5">
        <v>405</v>
      </c>
      <c r="V307" s="6">
        <f t="shared" si="92"/>
        <v>4.0909090909090908</v>
      </c>
      <c r="W307" s="6">
        <v>2.1339999999999999</v>
      </c>
      <c r="X307" s="5">
        <v>99</v>
      </c>
      <c r="Z307" s="6">
        <f t="shared" si="93"/>
        <v>1.5500685871056241</v>
      </c>
      <c r="AA307" s="6">
        <f t="shared" si="94"/>
        <v>2.7012345679012344</v>
      </c>
      <c r="AB307" s="13">
        <f t="shared" si="95"/>
        <v>0.7426548672566371</v>
      </c>
      <c r="AC307" t="s">
        <v>40</v>
      </c>
      <c r="AE307" t="s">
        <v>716</v>
      </c>
      <c r="AF307" s="9">
        <v>0.38194444444444442</v>
      </c>
      <c r="AG307" s="9">
        <v>0.44444444444444442</v>
      </c>
      <c r="AH307" s="9">
        <f t="shared" si="96"/>
        <v>6.25E-2</v>
      </c>
      <c r="AI307" s="9">
        <f t="shared" si="97"/>
        <v>0.38194444444444442</v>
      </c>
      <c r="AJ307" s="9">
        <v>0.52083333333333337</v>
      </c>
      <c r="AK307" s="9">
        <f t="shared" si="98"/>
        <v>0.13888888888888895</v>
      </c>
      <c r="AM307" t="b">
        <v>1</v>
      </c>
    </row>
    <row r="308" spans="1:39" x14ac:dyDescent="0.3">
      <c r="A308" s="3" t="s">
        <v>685</v>
      </c>
      <c r="B308" t="s">
        <v>686</v>
      </c>
      <c r="C308" t="s">
        <v>52</v>
      </c>
      <c r="D308">
        <v>51</v>
      </c>
      <c r="E308" s="1">
        <v>25669</v>
      </c>
      <c r="F308" s="2">
        <v>44412.433645833335</v>
      </c>
      <c r="G308" t="s">
        <v>30</v>
      </c>
      <c r="H308" s="5">
        <v>2011</v>
      </c>
      <c r="I308" s="6">
        <f t="shared" si="89"/>
        <v>20.11</v>
      </c>
      <c r="J308" s="6">
        <v>4.9619999999999997</v>
      </c>
      <c r="K308" s="5">
        <v>100</v>
      </c>
      <c r="L308" s="5">
        <v>934</v>
      </c>
      <c r="M308" s="6">
        <f t="shared" si="90"/>
        <v>9.34</v>
      </c>
      <c r="N308" s="6">
        <v>2.851</v>
      </c>
      <c r="O308" s="5">
        <v>100</v>
      </c>
      <c r="P308"/>
      <c r="Q308" s="5">
        <v>1384</v>
      </c>
      <c r="R308" s="6">
        <f t="shared" si="91"/>
        <v>13.84</v>
      </c>
      <c r="S308" s="6">
        <v>3.4630000000000001</v>
      </c>
      <c r="T308" s="5">
        <v>100</v>
      </c>
      <c r="U308" s="5">
        <v>327</v>
      </c>
      <c r="V308" s="6">
        <f t="shared" si="92"/>
        <v>3.27</v>
      </c>
      <c r="W308" s="7">
        <v>1.7689999999999999</v>
      </c>
      <c r="X308" s="5">
        <v>100</v>
      </c>
      <c r="Z308" s="6">
        <f t="shared" si="93"/>
        <v>2.1531049250535332</v>
      </c>
      <c r="AA308" s="6">
        <f t="shared" si="94"/>
        <v>4.2324159021406729</v>
      </c>
      <c r="AB308" s="13">
        <f t="shared" si="95"/>
        <v>0.96572672928860681</v>
      </c>
      <c r="AC308" t="s">
        <v>40</v>
      </c>
      <c r="AE308" t="s">
        <v>718</v>
      </c>
      <c r="AF308" s="9">
        <v>0.3833333333333333</v>
      </c>
      <c r="AG308" s="9">
        <v>0.44444444444444442</v>
      </c>
      <c r="AH308" s="9">
        <f t="shared" si="96"/>
        <v>6.1111111111111116E-2</v>
      </c>
      <c r="AI308" s="9">
        <f t="shared" si="97"/>
        <v>0.3833333333333333</v>
      </c>
      <c r="AJ308" s="9">
        <v>0.53194444444444444</v>
      </c>
      <c r="AK308" s="9">
        <f t="shared" si="98"/>
        <v>0.14861111111111114</v>
      </c>
      <c r="AM308" t="b">
        <v>1</v>
      </c>
    </row>
    <row r="309" spans="1:39" x14ac:dyDescent="0.3">
      <c r="A309" s="3" t="s">
        <v>687</v>
      </c>
      <c r="B309" t="s">
        <v>688</v>
      </c>
      <c r="C309" t="s">
        <v>29</v>
      </c>
      <c r="D309">
        <v>29</v>
      </c>
      <c r="E309" s="1">
        <v>33459</v>
      </c>
      <c r="F309" s="2">
        <v>44412.433275462965</v>
      </c>
      <c r="G309" t="s">
        <v>30</v>
      </c>
      <c r="H309" s="5">
        <v>1420</v>
      </c>
      <c r="I309" s="6">
        <f t="shared" si="89"/>
        <v>14.343434343434344</v>
      </c>
      <c r="J309" s="6">
        <v>3.6680000000000001</v>
      </c>
      <c r="K309" s="5">
        <v>99</v>
      </c>
      <c r="L309" s="5">
        <v>626</v>
      </c>
      <c r="M309" s="6">
        <f t="shared" si="90"/>
        <v>6.3232323232323235</v>
      </c>
      <c r="N309" s="6">
        <v>2.5510000000000002</v>
      </c>
      <c r="O309" s="5">
        <v>99</v>
      </c>
      <c r="P309"/>
      <c r="Q309" s="5">
        <v>938</v>
      </c>
      <c r="R309" s="6">
        <f t="shared" si="91"/>
        <v>9.474747474747474</v>
      </c>
      <c r="S309" s="6">
        <v>3.403</v>
      </c>
      <c r="T309" s="5">
        <v>99</v>
      </c>
      <c r="U309" s="5">
        <v>308</v>
      </c>
      <c r="V309" s="6">
        <f t="shared" si="92"/>
        <v>3.1111111111111112</v>
      </c>
      <c r="W309" s="7">
        <v>1.8460000000000001</v>
      </c>
      <c r="X309" s="5">
        <v>99</v>
      </c>
      <c r="Z309" s="6">
        <f t="shared" si="93"/>
        <v>2.2683706070287539</v>
      </c>
      <c r="AA309" s="6">
        <f t="shared" si="94"/>
        <v>3.045454545454545</v>
      </c>
      <c r="AB309" s="13">
        <f t="shared" si="95"/>
        <v>0.34257362355953885</v>
      </c>
      <c r="AC309" t="s">
        <v>31</v>
      </c>
      <c r="AE309" t="s">
        <v>716</v>
      </c>
      <c r="AF309" s="9">
        <v>0.37152777777777773</v>
      </c>
      <c r="AG309" s="9">
        <v>0.44444444444444442</v>
      </c>
      <c r="AH309" s="9">
        <f t="shared" si="96"/>
        <v>7.2916666666666685E-2</v>
      </c>
      <c r="AI309" s="9">
        <f t="shared" si="97"/>
        <v>0.37152777777777773</v>
      </c>
      <c r="AJ309" s="9">
        <v>0.52083333333333337</v>
      </c>
      <c r="AK309" s="9">
        <f t="shared" si="98"/>
        <v>0.14930555555555564</v>
      </c>
      <c r="AM309" t="b">
        <v>1</v>
      </c>
    </row>
    <row r="310" spans="1:39" x14ac:dyDescent="0.3">
      <c r="A310" s="3" t="s">
        <v>689</v>
      </c>
      <c r="B310" t="s">
        <v>690</v>
      </c>
      <c r="C310" t="s">
        <v>52</v>
      </c>
      <c r="D310">
        <v>77</v>
      </c>
      <c r="E310" s="1">
        <v>16287</v>
      </c>
      <c r="F310" s="2">
        <v>44413.41915509259</v>
      </c>
      <c r="G310" t="s">
        <v>30</v>
      </c>
      <c r="H310" s="5">
        <v>2476</v>
      </c>
      <c r="I310" s="6">
        <f t="shared" si="89"/>
        <v>24.76</v>
      </c>
      <c r="J310" s="6">
        <v>4.8890000000000002</v>
      </c>
      <c r="K310" s="5">
        <v>100</v>
      </c>
      <c r="L310" s="5">
        <v>1326</v>
      </c>
      <c r="M310" s="6">
        <f t="shared" si="90"/>
        <v>13.26</v>
      </c>
      <c r="N310" s="6">
        <v>3.6419999999999999</v>
      </c>
      <c r="O310" s="5">
        <v>100</v>
      </c>
      <c r="P310"/>
      <c r="Q310" s="5">
        <v>1886</v>
      </c>
      <c r="R310" s="6">
        <f t="shared" si="91"/>
        <v>19.050505050505052</v>
      </c>
      <c r="S310" s="6">
        <v>5.0599999999999996</v>
      </c>
      <c r="T310" s="5">
        <v>99</v>
      </c>
      <c r="U310" s="5">
        <v>761</v>
      </c>
      <c r="V310" s="6">
        <f t="shared" si="92"/>
        <v>7.6868686868686869</v>
      </c>
      <c r="W310" s="7">
        <v>3.0590000000000002</v>
      </c>
      <c r="X310" s="5">
        <v>99</v>
      </c>
      <c r="Z310" s="6">
        <f t="shared" si="93"/>
        <v>1.867269984917044</v>
      </c>
      <c r="AA310" s="6">
        <f t="shared" si="94"/>
        <v>2.4783180026281211</v>
      </c>
      <c r="AB310" s="13">
        <f t="shared" si="95"/>
        <v>0.32724138589858165</v>
      </c>
      <c r="AC310" t="s">
        <v>40</v>
      </c>
      <c r="AE310" t="s">
        <v>718</v>
      </c>
      <c r="AF310" s="9">
        <v>0.37986111111111115</v>
      </c>
      <c r="AG310" s="9">
        <v>0.44444444444444442</v>
      </c>
      <c r="AH310" s="9">
        <f t="shared" si="96"/>
        <v>6.458333333333327E-2</v>
      </c>
      <c r="AI310" s="9">
        <f t="shared" si="97"/>
        <v>0.37986111111111115</v>
      </c>
      <c r="AJ310" s="9">
        <v>0.51874999999999993</v>
      </c>
      <c r="AK310" s="9">
        <f t="shared" si="98"/>
        <v>0.13888888888888878</v>
      </c>
      <c r="AM310" t="b">
        <v>1</v>
      </c>
    </row>
    <row r="311" spans="1:39" x14ac:dyDescent="0.3">
      <c r="A311" s="3" t="s">
        <v>691</v>
      </c>
      <c r="B311" t="s">
        <v>692</v>
      </c>
      <c r="C311" t="s">
        <v>29</v>
      </c>
      <c r="D311">
        <v>49</v>
      </c>
      <c r="E311" s="1">
        <v>26484</v>
      </c>
      <c r="F311" s="2">
        <v>44413.438680555555</v>
      </c>
      <c r="G311" t="s">
        <v>30</v>
      </c>
      <c r="H311" s="5">
        <v>2484</v>
      </c>
      <c r="I311" s="6">
        <f t="shared" si="89"/>
        <v>25.09090909090909</v>
      </c>
      <c r="J311" s="6">
        <v>5.4660000000000002</v>
      </c>
      <c r="K311" s="5">
        <v>99</v>
      </c>
      <c r="L311" s="5">
        <v>703</v>
      </c>
      <c r="M311" s="6">
        <f t="shared" si="90"/>
        <v>7.1010101010101012</v>
      </c>
      <c r="N311" s="6">
        <v>2.95</v>
      </c>
      <c r="O311" s="5">
        <v>99</v>
      </c>
      <c r="P311"/>
      <c r="Q311" s="5">
        <v>1922</v>
      </c>
      <c r="R311" s="6">
        <f t="shared" si="91"/>
        <v>19.414141414141415</v>
      </c>
      <c r="S311" s="6">
        <v>5.3659999999999997</v>
      </c>
      <c r="T311" s="5">
        <v>99</v>
      </c>
      <c r="U311" s="5">
        <v>250</v>
      </c>
      <c r="V311" s="6">
        <f t="shared" si="92"/>
        <v>2.5252525252525251</v>
      </c>
      <c r="W311" s="6">
        <v>1.74</v>
      </c>
      <c r="X311" s="5">
        <v>99</v>
      </c>
      <c r="Z311" s="6">
        <f t="shared" si="93"/>
        <v>3.5334281650071122</v>
      </c>
      <c r="AA311" s="6">
        <f t="shared" si="94"/>
        <v>7.6880000000000006</v>
      </c>
      <c r="AB311" s="13">
        <f t="shared" si="95"/>
        <v>1.1757906602254429</v>
      </c>
      <c r="AC311" t="s">
        <v>31</v>
      </c>
      <c r="AE311" t="s">
        <v>716</v>
      </c>
      <c r="AF311" s="9">
        <v>0.38819444444444445</v>
      </c>
      <c r="AG311" s="9">
        <v>0.44444444444444442</v>
      </c>
      <c r="AH311" s="9">
        <f t="shared" si="96"/>
        <v>5.6249999999999967E-2</v>
      </c>
      <c r="AI311" s="9">
        <f t="shared" si="97"/>
        <v>0.38819444444444445</v>
      </c>
      <c r="AJ311" s="9">
        <v>0.53472222222222221</v>
      </c>
      <c r="AK311" s="9">
        <f t="shared" si="98"/>
        <v>0.14652777777777776</v>
      </c>
      <c r="AM311" t="b">
        <v>1</v>
      </c>
    </row>
    <row r="312" spans="1:39" x14ac:dyDescent="0.3">
      <c r="A312" s="3" t="s">
        <v>693</v>
      </c>
      <c r="B312" t="s">
        <v>694</v>
      </c>
      <c r="C312" t="s">
        <v>29</v>
      </c>
      <c r="D312">
        <v>53</v>
      </c>
      <c r="E312" s="1">
        <v>25051</v>
      </c>
      <c r="F312" s="2">
        <v>44414.425706018519</v>
      </c>
      <c r="G312" t="s">
        <v>30</v>
      </c>
      <c r="H312" s="5">
        <v>3042</v>
      </c>
      <c r="I312" s="6">
        <f t="shared" si="89"/>
        <v>30.42</v>
      </c>
      <c r="J312" s="6">
        <v>5.1189999999999998</v>
      </c>
      <c r="K312" s="5">
        <v>100</v>
      </c>
      <c r="L312" s="5">
        <v>911</v>
      </c>
      <c r="M312" s="6">
        <f t="shared" si="90"/>
        <v>9.11</v>
      </c>
      <c r="N312" s="6">
        <v>2.9609999999999999</v>
      </c>
      <c r="O312" s="5">
        <v>100</v>
      </c>
      <c r="P312"/>
      <c r="Q312" s="5">
        <v>2200</v>
      </c>
      <c r="R312" s="6">
        <f t="shared" si="91"/>
        <v>22</v>
      </c>
      <c r="S312" s="6">
        <v>4.4400000000000004</v>
      </c>
      <c r="T312" s="5">
        <v>100</v>
      </c>
      <c r="U312" s="5">
        <v>318</v>
      </c>
      <c r="V312" s="6">
        <f t="shared" si="92"/>
        <v>3.18</v>
      </c>
      <c r="W312" s="6">
        <v>1.861</v>
      </c>
      <c r="X312" s="5">
        <v>100</v>
      </c>
      <c r="Z312" s="6">
        <f t="shared" si="93"/>
        <v>3.3391877058177832</v>
      </c>
      <c r="AA312" s="6">
        <f t="shared" si="94"/>
        <v>6.9182389937106912</v>
      </c>
      <c r="AB312" s="13">
        <f t="shared" si="95"/>
        <v>1.0718329136326228</v>
      </c>
      <c r="AC312" t="s">
        <v>40</v>
      </c>
      <c r="AE312" t="s">
        <v>716</v>
      </c>
      <c r="AF312" s="9">
        <v>0.39930555555555558</v>
      </c>
      <c r="AG312" s="9">
        <v>0.44444444444444442</v>
      </c>
      <c r="AH312" s="9">
        <f t="shared" si="96"/>
        <v>4.513888888888884E-2</v>
      </c>
      <c r="AI312" s="9">
        <f t="shared" si="97"/>
        <v>0.39930555555555558</v>
      </c>
      <c r="AJ312" s="9">
        <v>0.53472222222222221</v>
      </c>
      <c r="AK312" s="9">
        <f t="shared" si="98"/>
        <v>0.13541666666666663</v>
      </c>
      <c r="AM312" t="b">
        <v>1</v>
      </c>
    </row>
    <row r="313" spans="1:39" x14ac:dyDescent="0.3">
      <c r="A313" s="3" t="s">
        <v>695</v>
      </c>
      <c r="B313" t="s">
        <v>696</v>
      </c>
      <c r="C313" t="s">
        <v>29</v>
      </c>
      <c r="D313">
        <v>48</v>
      </c>
      <c r="E313" s="1">
        <v>26575</v>
      </c>
      <c r="F313" s="2">
        <v>44419.438761574071</v>
      </c>
      <c r="G313" t="s">
        <v>30</v>
      </c>
      <c r="H313" s="5">
        <v>2144</v>
      </c>
      <c r="I313" s="6">
        <f t="shared" si="89"/>
        <v>21.44</v>
      </c>
      <c r="J313" s="6">
        <v>4.8079999999999998</v>
      </c>
      <c r="K313" s="5">
        <v>100</v>
      </c>
      <c r="L313" s="5">
        <v>835</v>
      </c>
      <c r="M313" s="6">
        <f t="shared" si="90"/>
        <v>8.35</v>
      </c>
      <c r="N313" s="6">
        <v>2.9590000000000001</v>
      </c>
      <c r="O313" s="5">
        <v>100</v>
      </c>
      <c r="P313"/>
      <c r="Q313" s="5">
        <v>1302</v>
      </c>
      <c r="R313" s="6">
        <f t="shared" si="91"/>
        <v>13.151515151515152</v>
      </c>
      <c r="S313" s="6">
        <v>3.5550000000000002</v>
      </c>
      <c r="T313" s="5">
        <v>99</v>
      </c>
      <c r="U313" s="5">
        <v>293</v>
      </c>
      <c r="V313" s="6">
        <f t="shared" si="92"/>
        <v>2.9595959595959598</v>
      </c>
      <c r="W313" s="6">
        <v>1.708</v>
      </c>
      <c r="X313" s="5">
        <v>99</v>
      </c>
      <c r="Z313" s="6">
        <f t="shared" si="93"/>
        <v>2.567664670658683</v>
      </c>
      <c r="AA313" s="6">
        <f t="shared" si="94"/>
        <v>4.4436860068259385</v>
      </c>
      <c r="AB313" s="13">
        <f t="shared" si="95"/>
        <v>0.73063330956140771</v>
      </c>
      <c r="AC313" t="s">
        <v>40</v>
      </c>
      <c r="AE313" t="s">
        <v>716</v>
      </c>
      <c r="AF313" s="9">
        <v>0.38958333333333334</v>
      </c>
      <c r="AG313" s="9">
        <v>0.44444444444444442</v>
      </c>
      <c r="AH313" s="9">
        <f t="shared" si="96"/>
        <v>5.4861111111111083E-2</v>
      </c>
      <c r="AI313" s="9">
        <f t="shared" si="97"/>
        <v>0.38958333333333334</v>
      </c>
      <c r="AJ313" s="9">
        <v>0.53472222222222221</v>
      </c>
      <c r="AK313" s="9">
        <f t="shared" si="98"/>
        <v>0.14513888888888887</v>
      </c>
      <c r="AM313" t="b">
        <v>1</v>
      </c>
    </row>
    <row r="314" spans="1:39" x14ac:dyDescent="0.3">
      <c r="A314" s="3" t="s">
        <v>697</v>
      </c>
      <c r="B314" t="s">
        <v>698</v>
      </c>
      <c r="C314" t="s">
        <v>52</v>
      </c>
      <c r="D314">
        <v>69</v>
      </c>
      <c r="E314" s="1">
        <v>19077</v>
      </c>
      <c r="F314" s="2">
        <v>44419.439606481479</v>
      </c>
      <c r="G314" t="s">
        <v>30</v>
      </c>
      <c r="H314" s="5">
        <v>2429</v>
      </c>
      <c r="I314" s="6">
        <f t="shared" si="89"/>
        <v>24.535353535353536</v>
      </c>
      <c r="J314" s="6">
        <v>4.9580000000000002</v>
      </c>
      <c r="K314" s="5">
        <v>99</v>
      </c>
      <c r="L314" s="5">
        <v>1094</v>
      </c>
      <c r="M314" s="6">
        <f t="shared" si="90"/>
        <v>11.05050505050505</v>
      </c>
      <c r="N314" s="6">
        <v>3.9390000000000001</v>
      </c>
      <c r="O314" s="5">
        <v>99</v>
      </c>
      <c r="P314"/>
      <c r="Q314" s="5">
        <v>1790</v>
      </c>
      <c r="R314" s="6">
        <f t="shared" si="91"/>
        <v>18.08080808080808</v>
      </c>
      <c r="S314" s="6">
        <v>3.9889999999999999</v>
      </c>
      <c r="T314" s="5">
        <v>99</v>
      </c>
      <c r="U314" s="5">
        <v>414</v>
      </c>
      <c r="V314" s="6">
        <f t="shared" si="92"/>
        <v>4.1818181818181817</v>
      </c>
      <c r="W314" s="7">
        <v>2.3490000000000002</v>
      </c>
      <c r="X314" s="5">
        <v>99</v>
      </c>
      <c r="Z314" s="6">
        <f t="shared" si="93"/>
        <v>2.2202925045703839</v>
      </c>
      <c r="AA314" s="6">
        <f t="shared" si="94"/>
        <v>4.3236714975845407</v>
      </c>
      <c r="AB314" s="13">
        <f t="shared" si="95"/>
        <v>0.94734319405413248</v>
      </c>
      <c r="AC314" t="s">
        <v>31</v>
      </c>
      <c r="AE314" t="s">
        <v>717</v>
      </c>
      <c r="AF314" s="9">
        <v>0.37708333333333338</v>
      </c>
      <c r="AG314" s="9">
        <v>0.44444444444444442</v>
      </c>
      <c r="AH314" s="9">
        <f t="shared" si="96"/>
        <v>6.7361111111111038E-2</v>
      </c>
      <c r="AI314" s="9">
        <f t="shared" si="97"/>
        <v>0.37708333333333338</v>
      </c>
      <c r="AJ314" s="9">
        <v>0.52083333333333337</v>
      </c>
      <c r="AK314" s="9">
        <f t="shared" si="98"/>
        <v>0.14374999999999999</v>
      </c>
      <c r="AM314" t="b">
        <v>1</v>
      </c>
    </row>
    <row r="315" spans="1:39" x14ac:dyDescent="0.3">
      <c r="A315" s="3" t="s">
        <v>699</v>
      </c>
      <c r="B315" t="s">
        <v>700</v>
      </c>
      <c r="C315" t="s">
        <v>29</v>
      </c>
      <c r="D315">
        <v>44</v>
      </c>
      <c r="E315" s="1">
        <v>28167</v>
      </c>
      <c r="F315" s="2">
        <v>44421.412835648145</v>
      </c>
      <c r="G315" t="s">
        <v>30</v>
      </c>
      <c r="H315" s="5">
        <v>2624</v>
      </c>
      <c r="I315" s="6">
        <f t="shared" si="89"/>
        <v>26.24</v>
      </c>
      <c r="J315" s="6">
        <v>5.4260000000000002</v>
      </c>
      <c r="K315" s="5">
        <v>100</v>
      </c>
      <c r="L315" s="5">
        <v>1229</v>
      </c>
      <c r="M315" s="6">
        <f t="shared" si="90"/>
        <v>12.29</v>
      </c>
      <c r="N315" s="6">
        <v>3.5310000000000001</v>
      </c>
      <c r="O315" s="5">
        <v>100</v>
      </c>
      <c r="P315"/>
      <c r="Q315" s="5">
        <v>1504</v>
      </c>
      <c r="R315" s="6">
        <f t="shared" si="91"/>
        <v>15.191919191919192</v>
      </c>
      <c r="S315" s="6">
        <v>3.8109999999999999</v>
      </c>
      <c r="T315" s="5">
        <v>99</v>
      </c>
      <c r="U315" s="5">
        <v>290</v>
      </c>
      <c r="V315" s="6">
        <f t="shared" si="92"/>
        <v>2.9292929292929295</v>
      </c>
      <c r="W315" s="7">
        <v>1.78</v>
      </c>
      <c r="X315" s="5">
        <v>99</v>
      </c>
      <c r="Z315" s="6">
        <f t="shared" si="93"/>
        <v>2.1350691619202604</v>
      </c>
      <c r="AA315" s="6">
        <f t="shared" si="94"/>
        <v>5.1862068965517238</v>
      </c>
      <c r="AB315" s="13">
        <f t="shared" si="95"/>
        <v>1.4290580319596298</v>
      </c>
      <c r="AC315" t="s">
        <v>40</v>
      </c>
      <c r="AE315" t="s">
        <v>716</v>
      </c>
      <c r="AF315" s="9">
        <v>0.37291666666666662</v>
      </c>
      <c r="AG315" s="9">
        <v>0.4236111111111111</v>
      </c>
      <c r="AH315" s="9">
        <f t="shared" si="96"/>
        <v>5.0694444444444486E-2</v>
      </c>
      <c r="AI315" s="9">
        <f t="shared" si="97"/>
        <v>0.37291666666666662</v>
      </c>
      <c r="AJ315" s="9">
        <v>0.52083333333333337</v>
      </c>
      <c r="AK315" s="9">
        <f t="shared" si="98"/>
        <v>0.14791666666666675</v>
      </c>
      <c r="AM315" t="b">
        <v>1</v>
      </c>
    </row>
    <row r="316" spans="1:39" x14ac:dyDescent="0.3">
      <c r="A316" s="3" t="s">
        <v>701</v>
      </c>
      <c r="B316" t="s">
        <v>235</v>
      </c>
      <c r="C316" t="s">
        <v>52</v>
      </c>
      <c r="D316">
        <v>69</v>
      </c>
      <c r="E316" s="1">
        <v>19094</v>
      </c>
      <c r="F316" s="2">
        <v>44421.428379629629</v>
      </c>
      <c r="G316" t="s">
        <v>30</v>
      </c>
      <c r="H316" s="5">
        <v>2095</v>
      </c>
      <c r="I316" s="6">
        <f t="shared" si="89"/>
        <v>21.161616161616163</v>
      </c>
      <c r="J316" s="6">
        <v>5.1280000000000001</v>
      </c>
      <c r="K316" s="5">
        <v>99</v>
      </c>
      <c r="L316" s="5">
        <v>1426</v>
      </c>
      <c r="M316" s="6">
        <f t="shared" si="90"/>
        <v>14.404040404040405</v>
      </c>
      <c r="N316" s="6">
        <v>3.758</v>
      </c>
      <c r="O316" s="5">
        <v>99</v>
      </c>
      <c r="P316"/>
      <c r="Q316" s="5">
        <v>1588</v>
      </c>
      <c r="R316" s="6">
        <f t="shared" si="91"/>
        <v>16.040404040404042</v>
      </c>
      <c r="S316" s="6">
        <v>4.5110000000000001</v>
      </c>
      <c r="T316" s="5">
        <v>99</v>
      </c>
      <c r="U316" s="5">
        <v>513</v>
      </c>
      <c r="V316" s="6">
        <f t="shared" si="92"/>
        <v>5.1818181818181817</v>
      </c>
      <c r="W316" s="6">
        <v>2.2010000000000001</v>
      </c>
      <c r="X316" s="5">
        <v>99</v>
      </c>
      <c r="Z316" s="6">
        <f t="shared" si="93"/>
        <v>1.4691444600280505</v>
      </c>
      <c r="AA316" s="6">
        <f t="shared" si="94"/>
        <v>3.0955165692007802</v>
      </c>
      <c r="AB316" s="13">
        <f t="shared" si="95"/>
        <v>1.1070198700144689</v>
      </c>
      <c r="AC316" t="s">
        <v>31</v>
      </c>
      <c r="AE316" t="s">
        <v>718</v>
      </c>
      <c r="AF316" s="9">
        <v>0.38472222222222219</v>
      </c>
      <c r="AG316" s="9">
        <v>0.43055555555555558</v>
      </c>
      <c r="AH316" s="9">
        <f t="shared" si="96"/>
        <v>4.5833333333333393E-2</v>
      </c>
      <c r="AI316" s="9">
        <f t="shared" si="97"/>
        <v>0.38472222222222219</v>
      </c>
      <c r="AJ316" s="9">
        <v>0.52083333333333337</v>
      </c>
      <c r="AK316" s="9">
        <f t="shared" si="98"/>
        <v>0.13611111111111118</v>
      </c>
      <c r="AM316" t="b">
        <v>1</v>
      </c>
    </row>
    <row r="317" spans="1:39" x14ac:dyDescent="0.3">
      <c r="A317" s="3" t="s">
        <v>702</v>
      </c>
      <c r="B317" t="s">
        <v>703</v>
      </c>
      <c r="C317" t="s">
        <v>52</v>
      </c>
      <c r="D317">
        <v>68</v>
      </c>
      <c r="E317" s="1">
        <v>19255</v>
      </c>
      <c r="F317" s="2">
        <v>44426.43917824074</v>
      </c>
      <c r="G317" t="s">
        <v>30</v>
      </c>
      <c r="H317" s="5">
        <v>2169</v>
      </c>
      <c r="I317" s="6">
        <f t="shared" si="89"/>
        <v>21.90909090909091</v>
      </c>
      <c r="J317" s="6">
        <v>1.506</v>
      </c>
      <c r="K317" s="5">
        <v>99</v>
      </c>
      <c r="L317" s="5">
        <v>1002</v>
      </c>
      <c r="M317" s="6">
        <f t="shared" si="90"/>
        <v>10.121212121212121</v>
      </c>
      <c r="N317" s="6">
        <v>1.698</v>
      </c>
      <c r="O317" s="5">
        <v>99</v>
      </c>
      <c r="P317"/>
      <c r="Q317" s="5">
        <v>1687</v>
      </c>
      <c r="R317" s="6">
        <f t="shared" si="91"/>
        <v>16.87</v>
      </c>
      <c r="S317" s="6">
        <v>1.4259999999999999</v>
      </c>
      <c r="T317" s="5">
        <v>100</v>
      </c>
      <c r="U317" s="5">
        <v>476</v>
      </c>
      <c r="V317" s="6">
        <f t="shared" si="92"/>
        <v>4.76</v>
      </c>
      <c r="W317" s="6">
        <v>0.60499999999999998</v>
      </c>
      <c r="X317" s="5">
        <v>100</v>
      </c>
      <c r="Z317" s="6">
        <f t="shared" si="93"/>
        <v>2.1646706586826348</v>
      </c>
      <c r="AA317" s="6">
        <f t="shared" si="94"/>
        <v>3.5441176470588238</v>
      </c>
      <c r="AB317" s="13">
        <f t="shared" si="95"/>
        <v>0.63725490196078438</v>
      </c>
      <c r="AC317" t="s">
        <v>39</v>
      </c>
      <c r="AE317" t="s">
        <v>718</v>
      </c>
      <c r="AF317" s="9">
        <v>0.375</v>
      </c>
      <c r="AG317" s="9">
        <v>0.44444444444444442</v>
      </c>
      <c r="AH317" s="9">
        <f t="shared" si="96"/>
        <v>6.944444444444442E-2</v>
      </c>
      <c r="AI317" s="9">
        <f t="shared" si="97"/>
        <v>0.375</v>
      </c>
      <c r="AJ317" s="9">
        <v>0.51736111111111105</v>
      </c>
      <c r="AK317" s="9">
        <f t="shared" si="98"/>
        <v>0.14236111111111105</v>
      </c>
      <c r="AM317" t="b">
        <v>1</v>
      </c>
    </row>
    <row r="318" spans="1:39" x14ac:dyDescent="0.3">
      <c r="A318" s="3" t="s">
        <v>704</v>
      </c>
      <c r="B318" t="s">
        <v>705</v>
      </c>
      <c r="C318" t="s">
        <v>29</v>
      </c>
      <c r="D318">
        <v>44</v>
      </c>
      <c r="E318" s="1">
        <v>28094</v>
      </c>
      <c r="F318" s="2">
        <v>44426.430949074071</v>
      </c>
      <c r="G318" t="s">
        <v>30</v>
      </c>
      <c r="H318" s="5">
        <v>2967</v>
      </c>
      <c r="I318" s="6">
        <f t="shared" si="89"/>
        <v>29.67</v>
      </c>
      <c r="J318" s="6">
        <v>5.9480000000000004</v>
      </c>
      <c r="K318" s="5">
        <v>100</v>
      </c>
      <c r="L318" s="5">
        <v>800</v>
      </c>
      <c r="M318" s="6">
        <f t="shared" si="90"/>
        <v>8</v>
      </c>
      <c r="N318" s="6">
        <v>3.1560000000000001</v>
      </c>
      <c r="O318" s="5">
        <v>100</v>
      </c>
      <c r="P318"/>
      <c r="Q318" s="5">
        <v>2137</v>
      </c>
      <c r="R318" s="6">
        <f t="shared" si="91"/>
        <v>21.37</v>
      </c>
      <c r="S318" s="6">
        <v>4.7350000000000003</v>
      </c>
      <c r="T318" s="5">
        <v>100</v>
      </c>
      <c r="U318" s="5">
        <v>327</v>
      </c>
      <c r="V318" s="6">
        <f t="shared" si="92"/>
        <v>3.27</v>
      </c>
      <c r="W318" s="6">
        <v>1.911</v>
      </c>
      <c r="X318" s="5">
        <v>100</v>
      </c>
      <c r="Z318" s="6">
        <f t="shared" si="93"/>
        <v>3.7087500000000002</v>
      </c>
      <c r="AA318" s="6">
        <f t="shared" si="94"/>
        <v>6.5351681957186543</v>
      </c>
      <c r="AB318" s="13">
        <f t="shared" si="95"/>
        <v>0.76209455900738898</v>
      </c>
      <c r="AC318" t="s">
        <v>40</v>
      </c>
      <c r="AE318" t="s">
        <v>716</v>
      </c>
      <c r="AF318" s="9">
        <v>0.36805555555555558</v>
      </c>
      <c r="AG318" s="9">
        <v>0.44444444444444442</v>
      </c>
      <c r="AH318" s="9">
        <f t="shared" si="96"/>
        <v>7.638888888888884E-2</v>
      </c>
      <c r="AI318" s="9">
        <f t="shared" si="97"/>
        <v>0.36805555555555558</v>
      </c>
      <c r="AJ318" s="9">
        <v>0.52083333333333337</v>
      </c>
      <c r="AK318" s="9">
        <f t="shared" si="98"/>
        <v>0.15277777777777779</v>
      </c>
      <c r="AM318" t="b">
        <v>1</v>
      </c>
    </row>
    <row r="319" spans="1:39" x14ac:dyDescent="0.3">
      <c r="A319" s="3" t="s">
        <v>706</v>
      </c>
      <c r="B319" t="s">
        <v>707</v>
      </c>
      <c r="C319" t="s">
        <v>29</v>
      </c>
      <c r="D319">
        <v>53</v>
      </c>
      <c r="E319" s="1">
        <v>24850</v>
      </c>
      <c r="F319" s="2">
        <v>44433.430474537039</v>
      </c>
      <c r="G319" t="s">
        <v>30</v>
      </c>
      <c r="H319" s="5">
        <v>2092</v>
      </c>
      <c r="I319" s="6">
        <f t="shared" si="89"/>
        <v>21.131313131313131</v>
      </c>
      <c r="J319" s="6">
        <v>1.893</v>
      </c>
      <c r="K319" s="5">
        <v>99</v>
      </c>
      <c r="L319" s="5">
        <v>845</v>
      </c>
      <c r="M319" s="6">
        <f t="shared" si="90"/>
        <v>8.5353535353535346</v>
      </c>
      <c r="N319" s="6">
        <v>1.163</v>
      </c>
      <c r="O319" s="5">
        <v>99</v>
      </c>
      <c r="P319"/>
      <c r="Q319" s="5">
        <v>1498</v>
      </c>
      <c r="R319" s="6">
        <f t="shared" si="91"/>
        <v>14.98</v>
      </c>
      <c r="S319" s="6">
        <v>3.7250000000000001</v>
      </c>
      <c r="T319" s="5">
        <v>100</v>
      </c>
      <c r="U319" s="5">
        <v>364</v>
      </c>
      <c r="V319" s="6">
        <f t="shared" si="92"/>
        <v>3.64</v>
      </c>
      <c r="W319" s="6">
        <v>2.12</v>
      </c>
      <c r="X319" s="5">
        <v>100</v>
      </c>
      <c r="Z319" s="6">
        <f t="shared" si="93"/>
        <v>2.4757396449704143</v>
      </c>
      <c r="AA319" s="6">
        <f t="shared" si="94"/>
        <v>4.115384615384615</v>
      </c>
      <c r="AB319" s="13">
        <f t="shared" si="95"/>
        <v>0.66228489483747588</v>
      </c>
      <c r="AC319" t="s">
        <v>39</v>
      </c>
      <c r="AE319" t="s">
        <v>718</v>
      </c>
      <c r="AF319" s="9">
        <v>0.3756944444444445</v>
      </c>
      <c r="AG319" s="9">
        <v>0.44444444444444442</v>
      </c>
      <c r="AH319" s="9">
        <f t="shared" si="96"/>
        <v>6.8749999999999922E-2</v>
      </c>
      <c r="AI319" s="9">
        <f t="shared" si="97"/>
        <v>0.3756944444444445</v>
      </c>
      <c r="AJ319" s="9">
        <v>0.51736111111111105</v>
      </c>
      <c r="AK319" s="9">
        <f t="shared" si="98"/>
        <v>0.14166666666666655</v>
      </c>
      <c r="AM319" t="b">
        <v>1</v>
      </c>
    </row>
    <row r="320" spans="1:39" x14ac:dyDescent="0.3">
      <c r="A320" s="3" t="s">
        <v>708</v>
      </c>
      <c r="B320" t="s">
        <v>343</v>
      </c>
      <c r="C320" t="s">
        <v>59</v>
      </c>
      <c r="D320">
        <v>48</v>
      </c>
      <c r="E320" s="1">
        <v>26761</v>
      </c>
      <c r="F320" s="2">
        <v>44433.439282407409</v>
      </c>
      <c r="G320" t="s">
        <v>30</v>
      </c>
      <c r="H320" s="5">
        <v>2392</v>
      </c>
      <c r="I320" s="6">
        <f t="shared" si="89"/>
        <v>23.92</v>
      </c>
      <c r="J320" s="6">
        <v>5.7539999999999996</v>
      </c>
      <c r="K320" s="5">
        <v>100</v>
      </c>
      <c r="L320" s="5">
        <v>783</v>
      </c>
      <c r="M320" s="6">
        <f t="shared" si="90"/>
        <v>7.83</v>
      </c>
      <c r="N320" s="6">
        <v>2.8460000000000001</v>
      </c>
      <c r="O320" s="5">
        <v>100</v>
      </c>
      <c r="P320"/>
      <c r="Q320" s="5">
        <v>1599</v>
      </c>
      <c r="R320" s="6">
        <f t="shared" si="91"/>
        <v>16.151515151515152</v>
      </c>
      <c r="S320" s="6">
        <v>4.4390000000000001</v>
      </c>
      <c r="T320" s="5">
        <v>99</v>
      </c>
      <c r="U320" s="5">
        <v>349</v>
      </c>
      <c r="V320" s="6">
        <f t="shared" si="92"/>
        <v>3.5252525252525251</v>
      </c>
      <c r="W320" s="6">
        <v>2.0819999999999999</v>
      </c>
      <c r="X320" s="5">
        <v>99</v>
      </c>
      <c r="Z320" s="6">
        <f t="shared" si="93"/>
        <v>3.0549169859514689</v>
      </c>
      <c r="AA320" s="6">
        <f t="shared" si="94"/>
        <v>4.5816618911174789</v>
      </c>
      <c r="AB320" s="13">
        <f t="shared" si="95"/>
        <v>0.49976641335492716</v>
      </c>
      <c r="AC320" t="s">
        <v>31</v>
      </c>
      <c r="AE320" t="s">
        <v>718</v>
      </c>
      <c r="AF320" s="9">
        <v>0.39305555555555555</v>
      </c>
      <c r="AG320" s="9">
        <v>0.44444444444444442</v>
      </c>
      <c r="AH320" s="9">
        <f t="shared" si="96"/>
        <v>5.1388888888888873E-2</v>
      </c>
      <c r="AI320" s="9">
        <f t="shared" si="97"/>
        <v>0.39305555555555555</v>
      </c>
      <c r="AJ320" s="9">
        <v>0.52083333333333337</v>
      </c>
      <c r="AK320" s="9">
        <f t="shared" si="98"/>
        <v>0.12777777777777782</v>
      </c>
      <c r="AM320" t="b">
        <v>1</v>
      </c>
    </row>
    <row r="321" spans="1:39" x14ac:dyDescent="0.3">
      <c r="A321" s="3" t="s">
        <v>709</v>
      </c>
      <c r="B321" t="s">
        <v>710</v>
      </c>
      <c r="C321" t="s">
        <v>711</v>
      </c>
      <c r="D321">
        <v>69</v>
      </c>
      <c r="E321" s="1">
        <v>19052</v>
      </c>
      <c r="F321" s="2">
        <v>44435.425173611111</v>
      </c>
      <c r="G321" t="s">
        <v>30</v>
      </c>
      <c r="H321" s="5">
        <v>2505</v>
      </c>
      <c r="I321" s="6">
        <f t="shared" si="89"/>
        <v>25.303030303030305</v>
      </c>
      <c r="J321" s="6">
        <v>4.7750000000000004</v>
      </c>
      <c r="K321" s="5">
        <v>99</v>
      </c>
      <c r="L321" s="5">
        <v>1198</v>
      </c>
      <c r="M321" s="6">
        <f t="shared" si="90"/>
        <v>12.1010101010101</v>
      </c>
      <c r="N321" s="6">
        <v>3.4180000000000001</v>
      </c>
      <c r="O321" s="5">
        <v>99</v>
      </c>
      <c r="P321"/>
      <c r="Q321" s="5">
        <v>1843</v>
      </c>
      <c r="R321" s="6">
        <f t="shared" si="91"/>
        <v>18.616161616161616</v>
      </c>
      <c r="S321" s="6">
        <v>4.13</v>
      </c>
      <c r="T321" s="5">
        <v>99</v>
      </c>
      <c r="U321" s="5">
        <v>620</v>
      </c>
      <c r="V321" s="6">
        <f t="shared" si="92"/>
        <v>6.262626262626263</v>
      </c>
      <c r="W321" s="6">
        <v>2.3410000000000002</v>
      </c>
      <c r="X321" s="5">
        <v>99</v>
      </c>
      <c r="Z321" s="6">
        <f t="shared" si="93"/>
        <v>2.0909849749582641</v>
      </c>
      <c r="AA321" s="6">
        <f t="shared" si="94"/>
        <v>2.9725806451612899</v>
      </c>
      <c r="AB321" s="13">
        <f t="shared" si="95"/>
        <v>0.42161741034060873</v>
      </c>
      <c r="AC321" t="s">
        <v>40</v>
      </c>
      <c r="AE321" t="s">
        <v>717</v>
      </c>
      <c r="AF321" s="9">
        <v>0.38263888888888892</v>
      </c>
      <c r="AG321" s="9">
        <v>0.44444444444444442</v>
      </c>
      <c r="AH321" s="9">
        <f t="shared" si="96"/>
        <v>6.1805555555555503E-2</v>
      </c>
      <c r="AI321" s="9">
        <v>0.38263888888888892</v>
      </c>
      <c r="AJ321" s="9">
        <v>0.52083333333333337</v>
      </c>
      <c r="AK321" s="9">
        <f t="shared" si="98"/>
        <v>0.13819444444444445</v>
      </c>
      <c r="AM321" t="b">
        <v>1</v>
      </c>
    </row>
    <row r="322" spans="1:39" x14ac:dyDescent="0.3">
      <c r="A322" s="3" t="s">
        <v>712</v>
      </c>
      <c r="B322" t="s">
        <v>713</v>
      </c>
      <c r="C322" t="s">
        <v>59</v>
      </c>
      <c r="D322">
        <v>48</v>
      </c>
      <c r="E322" s="1">
        <v>26410</v>
      </c>
      <c r="F322" s="2">
        <v>44435.422442129631</v>
      </c>
      <c r="G322" t="s">
        <v>30</v>
      </c>
      <c r="H322" s="5">
        <v>3040</v>
      </c>
      <c r="I322" s="6">
        <f t="shared" si="89"/>
        <v>30.707070707070706</v>
      </c>
      <c r="J322" s="6">
        <v>7.2060000000000004</v>
      </c>
      <c r="K322" s="5">
        <v>99</v>
      </c>
      <c r="L322" s="5">
        <v>885</v>
      </c>
      <c r="M322" s="6">
        <f t="shared" si="90"/>
        <v>8.9393939393939394</v>
      </c>
      <c r="N322" s="6">
        <v>2.8279999999999998</v>
      </c>
      <c r="O322" s="5">
        <v>99</v>
      </c>
      <c r="P322"/>
      <c r="Q322" s="5">
        <v>1984</v>
      </c>
      <c r="R322" s="6">
        <f t="shared" si="91"/>
        <v>20.040404040404042</v>
      </c>
      <c r="S322" s="6">
        <v>5.7750000000000004</v>
      </c>
      <c r="T322" s="5">
        <v>99</v>
      </c>
      <c r="U322" s="5">
        <v>364</v>
      </c>
      <c r="V322" s="6">
        <f t="shared" si="92"/>
        <v>3.6767676767676769</v>
      </c>
      <c r="W322" s="6">
        <v>2.004</v>
      </c>
      <c r="X322" s="5">
        <v>99</v>
      </c>
      <c r="Z322" s="6">
        <f t="shared" si="93"/>
        <v>3.4350282485875705</v>
      </c>
      <c r="AA322" s="6">
        <f t="shared" si="94"/>
        <v>5.4505494505494507</v>
      </c>
      <c r="AB322" s="13">
        <f t="shared" si="95"/>
        <v>0.58675534991324474</v>
      </c>
      <c r="AC322" t="s">
        <v>31</v>
      </c>
      <c r="AE322" t="s">
        <v>716</v>
      </c>
      <c r="AF322" s="9">
        <v>0.37361111111111112</v>
      </c>
      <c r="AG322" s="9">
        <v>0.4236111111111111</v>
      </c>
      <c r="AH322" s="9">
        <f t="shared" si="96"/>
        <v>4.9999999999999989E-2</v>
      </c>
      <c r="AI322" s="9">
        <v>0.37361111111111112</v>
      </c>
      <c r="AJ322" s="9">
        <v>0.52083333333333337</v>
      </c>
      <c r="AK322" s="9">
        <f t="shared" si="98"/>
        <v>0.14722222222222225</v>
      </c>
      <c r="AM322" t="b">
        <v>1</v>
      </c>
    </row>
    <row r="323" spans="1:39" x14ac:dyDescent="0.3">
      <c r="A323" s="3" t="s">
        <v>714</v>
      </c>
      <c r="B323" t="s">
        <v>715</v>
      </c>
      <c r="C323" t="s">
        <v>52</v>
      </c>
      <c r="D323">
        <v>72</v>
      </c>
      <c r="E323" s="1">
        <v>18069</v>
      </c>
      <c r="F323" s="2">
        <v>44439.413078703707</v>
      </c>
      <c r="G323" t="s">
        <v>30</v>
      </c>
      <c r="H323">
        <v>2771</v>
      </c>
      <c r="I323" s="6">
        <f t="shared" si="89"/>
        <v>27.98989898989899</v>
      </c>
      <c r="J323" s="6">
        <v>5.7610000000000001</v>
      </c>
      <c r="K323" s="5">
        <v>99</v>
      </c>
      <c r="L323" s="5">
        <v>1701</v>
      </c>
      <c r="M323" s="6">
        <f t="shared" si="90"/>
        <v>17.181818181818183</v>
      </c>
      <c r="N323" s="6">
        <v>4.1539999999999999</v>
      </c>
      <c r="O323" s="5">
        <v>99</v>
      </c>
      <c r="P323"/>
      <c r="Q323" s="5">
        <v>2022</v>
      </c>
      <c r="R323" s="6">
        <f t="shared" si="91"/>
        <v>20.424242424242426</v>
      </c>
      <c r="S323" s="6">
        <v>4.5960000000000001</v>
      </c>
      <c r="T323" s="5">
        <v>99</v>
      </c>
      <c r="U323" s="5">
        <v>556</v>
      </c>
      <c r="V323" s="6">
        <f t="shared" si="92"/>
        <v>5.6161616161616159</v>
      </c>
      <c r="W323" s="6">
        <v>2.7210000000000001</v>
      </c>
      <c r="X323" s="5">
        <v>99</v>
      </c>
      <c r="Z323" s="6">
        <f t="shared" si="93"/>
        <v>1.6290417401528512</v>
      </c>
      <c r="AA323" s="6">
        <f t="shared" si="94"/>
        <v>3.6366906474820149</v>
      </c>
      <c r="AB323" s="13">
        <f t="shared" si="95"/>
        <v>1.2324109676531603</v>
      </c>
      <c r="AC323" t="s">
        <v>40</v>
      </c>
      <c r="AE323" t="s">
        <v>717</v>
      </c>
      <c r="AF323" s="9">
        <v>0.3888888888888889</v>
      </c>
      <c r="AG323" s="9">
        <v>0.43055555555555558</v>
      </c>
      <c r="AH323" s="9">
        <f t="shared" si="96"/>
        <v>4.1666666666666685E-2</v>
      </c>
      <c r="AI323" s="9">
        <v>0.3888888888888889</v>
      </c>
      <c r="AJ323" s="9">
        <v>0.52083333333333337</v>
      </c>
      <c r="AK323" s="9">
        <f t="shared" si="98"/>
        <v>0.13194444444444448</v>
      </c>
      <c r="AM323" t="b">
        <v>1</v>
      </c>
    </row>
    <row r="324" spans="1:39" x14ac:dyDescent="0.3">
      <c r="A324" s="3">
        <v>1492091</v>
      </c>
      <c r="B324" t="s">
        <v>719</v>
      </c>
      <c r="C324" t="s">
        <v>29</v>
      </c>
      <c r="D324">
        <v>61</v>
      </c>
      <c r="E324" s="1">
        <v>21820</v>
      </c>
      <c r="F324" s="2">
        <v>44440.443969907406</v>
      </c>
      <c r="G324" t="s">
        <v>30</v>
      </c>
      <c r="H324">
        <v>1867</v>
      </c>
      <c r="I324" s="6">
        <f t="shared" si="89"/>
        <v>18.670000000000002</v>
      </c>
      <c r="J324" s="6">
        <v>5.3049999999999997</v>
      </c>
      <c r="K324" s="5">
        <v>100</v>
      </c>
      <c r="L324" s="5">
        <v>777</v>
      </c>
      <c r="M324" s="6">
        <f t="shared" si="90"/>
        <v>7.77</v>
      </c>
      <c r="N324" s="6">
        <v>2.8769999999999998</v>
      </c>
      <c r="O324" s="5">
        <v>100</v>
      </c>
      <c r="P324"/>
      <c r="Q324" s="5">
        <v>993</v>
      </c>
      <c r="R324" s="6">
        <f t="shared" si="91"/>
        <v>10.030303030303031</v>
      </c>
      <c r="S324" s="6">
        <v>3.59</v>
      </c>
      <c r="T324" s="5">
        <v>99</v>
      </c>
      <c r="U324" s="5">
        <v>259</v>
      </c>
      <c r="V324" s="6">
        <f t="shared" si="92"/>
        <v>2.6161616161616164</v>
      </c>
      <c r="W324" s="6">
        <v>1.6950000000000001</v>
      </c>
      <c r="X324" s="5">
        <v>99</v>
      </c>
      <c r="Z324" s="6">
        <f t="shared" si="93"/>
        <v>2.4028314028314033</v>
      </c>
      <c r="AA324" s="6">
        <f t="shared" si="94"/>
        <v>3.8339768339768341</v>
      </c>
      <c r="AB324" s="13">
        <f t="shared" ref="AB324:AB346" si="99">(AA324-Z324)/Z324</f>
        <v>0.59560792715586475</v>
      </c>
      <c r="AC324" t="s">
        <v>31</v>
      </c>
      <c r="AE324" t="s">
        <v>745</v>
      </c>
      <c r="AF324" s="9">
        <v>0.38680555555555557</v>
      </c>
      <c r="AG324" s="9">
        <v>0.44444444444444442</v>
      </c>
      <c r="AH324" s="9">
        <f>AG324-AF324</f>
        <v>5.7638888888888851E-2</v>
      </c>
      <c r="AI324" s="9">
        <v>0.38680555555555557</v>
      </c>
      <c r="AJ324" s="9">
        <v>0.54861111111111105</v>
      </c>
      <c r="AK324" s="9">
        <f>AJ324-AI324</f>
        <v>0.16180555555555548</v>
      </c>
      <c r="AM324" t="b">
        <v>1</v>
      </c>
    </row>
    <row r="325" spans="1:39" x14ac:dyDescent="0.3">
      <c r="A325" s="3">
        <v>1683126</v>
      </c>
      <c r="B325" t="s">
        <v>720</v>
      </c>
      <c r="C325" t="s">
        <v>29</v>
      </c>
      <c r="D325">
        <v>53</v>
      </c>
      <c r="E325" s="1">
        <v>24788</v>
      </c>
      <c r="F325" s="2">
        <v>44441.43677083333</v>
      </c>
      <c r="G325" t="s">
        <v>30</v>
      </c>
      <c r="H325">
        <v>1675</v>
      </c>
      <c r="I325" s="6">
        <f t="shared" si="89"/>
        <v>16.91919191919192</v>
      </c>
      <c r="J325">
        <v>1.1839999999999999</v>
      </c>
      <c r="K325" s="5">
        <v>99</v>
      </c>
      <c r="L325" s="5">
        <v>1115</v>
      </c>
      <c r="M325" s="6">
        <f t="shared" si="90"/>
        <v>11.262626262626263</v>
      </c>
      <c r="N325" s="6">
        <v>0.96499999999999997</v>
      </c>
      <c r="O325" s="5">
        <v>99</v>
      </c>
      <c r="P325"/>
      <c r="Q325" s="5">
        <v>1110</v>
      </c>
      <c r="R325" s="6">
        <f t="shared" si="91"/>
        <v>11.212121212121213</v>
      </c>
      <c r="S325" s="6">
        <v>0.79900000000000004</v>
      </c>
      <c r="T325" s="5">
        <v>99</v>
      </c>
      <c r="U325" s="5">
        <v>409</v>
      </c>
      <c r="V325" s="6">
        <f t="shared" si="92"/>
        <v>4.1313131313131315</v>
      </c>
      <c r="W325" s="6">
        <v>0.85299999999999998</v>
      </c>
      <c r="X325" s="5">
        <v>99</v>
      </c>
      <c r="Z325" s="6">
        <f t="shared" si="93"/>
        <v>1.5022421524663678</v>
      </c>
      <c r="AA325" s="6">
        <f t="shared" si="94"/>
        <v>2.7139364303178484</v>
      </c>
      <c r="AB325" s="13">
        <f t="shared" si="99"/>
        <v>0.8065905192862094</v>
      </c>
      <c r="AC325" t="s">
        <v>39</v>
      </c>
      <c r="AE325" t="s">
        <v>745</v>
      </c>
      <c r="AF325" s="9">
        <v>0.39097222222222222</v>
      </c>
      <c r="AG325" s="9">
        <v>0.44444444444444442</v>
      </c>
      <c r="AH325" s="9">
        <f t="shared" ref="AH325:AH346" si="100">AG325-AF325</f>
        <v>5.3472222222222199E-2</v>
      </c>
      <c r="AI325" s="9">
        <v>0.39097222222222222</v>
      </c>
      <c r="AJ325" s="9">
        <v>0.52847222222222223</v>
      </c>
      <c r="AK325" s="9">
        <f t="shared" ref="AK325:AK346" si="101">AJ325-AI325</f>
        <v>0.13750000000000001</v>
      </c>
      <c r="AM325" t="b">
        <v>1</v>
      </c>
    </row>
    <row r="326" spans="1:39" x14ac:dyDescent="0.3">
      <c r="A326" s="3">
        <v>2672549</v>
      </c>
      <c r="B326" t="s">
        <v>721</v>
      </c>
      <c r="C326" t="s">
        <v>29</v>
      </c>
      <c r="D326">
        <v>51</v>
      </c>
      <c r="E326" s="1">
        <v>25569</v>
      </c>
      <c r="F326" s="2">
        <v>44441.434513888889</v>
      </c>
      <c r="G326" t="s">
        <v>30</v>
      </c>
      <c r="H326">
        <v>2937</v>
      </c>
      <c r="I326" s="6">
        <f t="shared" si="89"/>
        <v>29.37</v>
      </c>
      <c r="J326">
        <v>7.1180000000000003</v>
      </c>
      <c r="K326" s="5">
        <v>100</v>
      </c>
      <c r="L326" s="5">
        <v>1125</v>
      </c>
      <c r="M326" s="6">
        <f t="shared" si="90"/>
        <v>11.25</v>
      </c>
      <c r="N326" s="6">
        <v>3.4239999999999999</v>
      </c>
      <c r="O326" s="5">
        <v>100</v>
      </c>
      <c r="P326"/>
      <c r="Q326" s="5">
        <v>2822</v>
      </c>
      <c r="R326" s="6">
        <f t="shared" si="91"/>
        <v>28.505050505050505</v>
      </c>
      <c r="S326" s="6">
        <v>7.851</v>
      </c>
      <c r="T326" s="5">
        <v>99</v>
      </c>
      <c r="U326" s="5">
        <v>423</v>
      </c>
      <c r="V326" s="6">
        <f t="shared" si="92"/>
        <v>4.2727272727272725</v>
      </c>
      <c r="W326" s="6">
        <v>1.9370000000000001</v>
      </c>
      <c r="X326" s="5">
        <v>99</v>
      </c>
      <c r="Z326" s="6">
        <f t="shared" si="93"/>
        <v>2.6106666666666669</v>
      </c>
      <c r="AA326" s="6">
        <f t="shared" si="94"/>
        <v>6.671394799054374</v>
      </c>
      <c r="AB326" s="13">
        <f t="shared" si="99"/>
        <v>1.5554372315070377</v>
      </c>
      <c r="AC326" t="s">
        <v>40</v>
      </c>
      <c r="AE326" t="s">
        <v>746</v>
      </c>
      <c r="AF326" s="9">
        <v>0.39444444444444443</v>
      </c>
      <c r="AG326" s="9">
        <v>0.44444444444444442</v>
      </c>
      <c r="AH326" s="9">
        <f t="shared" si="100"/>
        <v>4.9999999999999989E-2</v>
      </c>
      <c r="AI326" s="9">
        <v>0.39444444444444443</v>
      </c>
      <c r="AJ326" s="9">
        <v>0.52777777777777779</v>
      </c>
      <c r="AK326" s="9">
        <f t="shared" si="101"/>
        <v>0.13333333333333336</v>
      </c>
      <c r="AM326" t="b">
        <v>1</v>
      </c>
    </row>
    <row r="327" spans="1:39" x14ac:dyDescent="0.3">
      <c r="A327" s="3">
        <v>2262995</v>
      </c>
      <c r="B327" t="s">
        <v>722</v>
      </c>
      <c r="C327" t="s">
        <v>29</v>
      </c>
      <c r="D327">
        <v>64</v>
      </c>
      <c r="E327" s="1">
        <v>20929</v>
      </c>
      <c r="F327" s="2">
        <v>44442.436018518521</v>
      </c>
      <c r="G327" t="s">
        <v>30</v>
      </c>
      <c r="H327">
        <v>2716</v>
      </c>
      <c r="I327" s="6">
        <f t="shared" si="89"/>
        <v>27.434343434343436</v>
      </c>
      <c r="J327" s="6">
        <v>1.6359999999999999</v>
      </c>
      <c r="K327" s="5">
        <v>99</v>
      </c>
      <c r="L327" s="5">
        <v>1305</v>
      </c>
      <c r="M327" s="6">
        <f t="shared" si="90"/>
        <v>13.181818181818182</v>
      </c>
      <c r="N327" s="6">
        <v>1.514</v>
      </c>
      <c r="O327" s="5">
        <v>99</v>
      </c>
      <c r="P327"/>
      <c r="Q327" s="5">
        <v>2010</v>
      </c>
      <c r="R327" s="6">
        <f t="shared" si="91"/>
        <v>20.303030303030305</v>
      </c>
      <c r="S327" s="6">
        <v>1.528</v>
      </c>
      <c r="T327" s="5">
        <v>99</v>
      </c>
      <c r="U327" s="5">
        <v>577</v>
      </c>
      <c r="V327" s="6">
        <f t="shared" si="92"/>
        <v>5.8282828282828278</v>
      </c>
      <c r="W327" s="7">
        <v>0.7</v>
      </c>
      <c r="X327" s="5">
        <v>99</v>
      </c>
      <c r="Z327" s="6">
        <f t="shared" si="93"/>
        <v>2.0812260536398468</v>
      </c>
      <c r="AA327" s="6">
        <f t="shared" si="94"/>
        <v>3.4835355285961875</v>
      </c>
      <c r="AB327" s="13">
        <f t="shared" si="99"/>
        <v>0.67379008277541408</v>
      </c>
      <c r="AC327" t="s">
        <v>39</v>
      </c>
      <c r="AE327" t="s">
        <v>747</v>
      </c>
      <c r="AF327" s="9">
        <v>0.39305555555555555</v>
      </c>
      <c r="AG327" s="9">
        <v>0.44444444444444442</v>
      </c>
      <c r="AH327" s="9">
        <f t="shared" si="100"/>
        <v>5.1388888888888873E-2</v>
      </c>
      <c r="AI327" s="9">
        <v>0.39305555555555555</v>
      </c>
      <c r="AJ327" s="9">
        <v>0.52777777777777779</v>
      </c>
      <c r="AK327" s="9">
        <f t="shared" si="101"/>
        <v>0.13472222222222224</v>
      </c>
      <c r="AM327" t="b">
        <v>1</v>
      </c>
    </row>
    <row r="328" spans="1:39" x14ac:dyDescent="0.3">
      <c r="A328" s="3">
        <v>2019289</v>
      </c>
      <c r="B328" t="s">
        <v>723</v>
      </c>
      <c r="C328" t="s">
        <v>52</v>
      </c>
      <c r="D328">
        <v>25</v>
      </c>
      <c r="E328" s="1">
        <v>35221</v>
      </c>
      <c r="F328" s="2">
        <v>44442.388333333336</v>
      </c>
      <c r="G328" t="s">
        <v>30</v>
      </c>
      <c r="H328">
        <v>812</v>
      </c>
      <c r="I328" s="6">
        <f t="shared" si="89"/>
        <v>8.2020202020202024</v>
      </c>
      <c r="J328" s="6">
        <v>0.72799999999999998</v>
      </c>
      <c r="K328" s="5">
        <v>99</v>
      </c>
      <c r="L328" s="5">
        <v>558</v>
      </c>
      <c r="M328" s="6">
        <f t="shared" si="90"/>
        <v>5.6363636363636367</v>
      </c>
      <c r="N328" s="6">
        <v>0.56200000000000006</v>
      </c>
      <c r="O328" s="5">
        <v>99</v>
      </c>
      <c r="P328"/>
      <c r="Q328" s="5">
        <v>513</v>
      </c>
      <c r="R328" s="6">
        <f t="shared" si="91"/>
        <v>5.1818181818181817</v>
      </c>
      <c r="S328" s="6">
        <v>0.57799999999999996</v>
      </c>
      <c r="T328" s="5">
        <v>99</v>
      </c>
      <c r="U328" s="5">
        <v>238</v>
      </c>
      <c r="V328" s="6">
        <f t="shared" si="92"/>
        <v>2.404040404040404</v>
      </c>
      <c r="W328" s="7">
        <v>0.55200000000000005</v>
      </c>
      <c r="X328" s="5">
        <v>99</v>
      </c>
      <c r="Z328" s="6">
        <f t="shared" si="93"/>
        <v>1.4551971326164874</v>
      </c>
      <c r="AA328" s="6">
        <f t="shared" si="94"/>
        <v>2.1554621848739495</v>
      </c>
      <c r="AB328" s="13">
        <f t="shared" si="99"/>
        <v>0.48121662458086678</v>
      </c>
      <c r="AC328" t="s">
        <v>53</v>
      </c>
      <c r="AE328" t="s">
        <v>745</v>
      </c>
      <c r="AF328" s="9">
        <v>0.38055555555555554</v>
      </c>
      <c r="AG328" s="9">
        <v>0.44444444444444442</v>
      </c>
      <c r="AH328" s="9">
        <f t="shared" si="100"/>
        <v>6.3888888888888884E-2</v>
      </c>
      <c r="AI328" s="9">
        <v>0.38055555555555554</v>
      </c>
      <c r="AJ328" s="9">
        <v>0.52083333333333337</v>
      </c>
      <c r="AK328" s="9">
        <f t="shared" si="101"/>
        <v>0.14027777777777783</v>
      </c>
      <c r="AM328" t="b">
        <v>1</v>
      </c>
    </row>
    <row r="329" spans="1:39" x14ac:dyDescent="0.3">
      <c r="A329" s="3" t="s">
        <v>724</v>
      </c>
      <c r="B329" t="s">
        <v>725</v>
      </c>
      <c r="C329" t="s">
        <v>52</v>
      </c>
      <c r="D329">
        <v>63</v>
      </c>
      <c r="E329" s="1">
        <v>21242</v>
      </c>
      <c r="F329" s="2">
        <v>44445.418217592596</v>
      </c>
      <c r="G329" t="s">
        <v>30</v>
      </c>
      <c r="H329">
        <v>2075</v>
      </c>
      <c r="I329" s="6">
        <f t="shared" si="89"/>
        <v>20.75</v>
      </c>
      <c r="J329" s="6">
        <v>1.7769999999999999</v>
      </c>
      <c r="K329" s="5">
        <v>100</v>
      </c>
      <c r="L329" s="5">
        <v>1026</v>
      </c>
      <c r="M329" s="6">
        <f t="shared" si="90"/>
        <v>10.26</v>
      </c>
      <c r="N329" s="6">
        <v>1.07</v>
      </c>
      <c r="O329" s="5">
        <v>100</v>
      </c>
      <c r="P329"/>
      <c r="Q329" s="5">
        <v>1558</v>
      </c>
      <c r="R329" s="6">
        <f t="shared" si="91"/>
        <v>15.737373737373737</v>
      </c>
      <c r="S329" s="6">
        <v>0.89900000000000002</v>
      </c>
      <c r="T329" s="5">
        <v>99</v>
      </c>
      <c r="U329" s="5">
        <v>481</v>
      </c>
      <c r="V329" s="6">
        <f t="shared" si="92"/>
        <v>4.858585858585859</v>
      </c>
      <c r="W329" s="7">
        <v>0.72899999999999998</v>
      </c>
      <c r="X329" s="5">
        <v>99</v>
      </c>
      <c r="Z329" s="6">
        <f t="shared" si="93"/>
        <v>2.0224171539961016</v>
      </c>
      <c r="AA329" s="6">
        <f t="shared" si="94"/>
        <v>3.2390852390852389</v>
      </c>
      <c r="AB329" s="13">
        <f t="shared" si="99"/>
        <v>0.60159106279588181</v>
      </c>
      <c r="AC329" t="s">
        <v>53</v>
      </c>
      <c r="AE329" t="s">
        <v>745</v>
      </c>
      <c r="AF329" s="9">
        <v>0.38819444444444445</v>
      </c>
      <c r="AG329" s="9">
        <v>0.4375</v>
      </c>
      <c r="AH329" s="9">
        <f t="shared" si="100"/>
        <v>4.9305555555555547E-2</v>
      </c>
      <c r="AI329" s="9">
        <v>0.38819444444444445</v>
      </c>
      <c r="AJ329" s="9">
        <v>0.52083333333333337</v>
      </c>
      <c r="AK329" s="9">
        <f t="shared" si="101"/>
        <v>0.13263888888888892</v>
      </c>
      <c r="AM329" t="b">
        <v>1</v>
      </c>
    </row>
    <row r="330" spans="1:39" x14ac:dyDescent="0.3">
      <c r="A330" s="3" t="s">
        <v>726</v>
      </c>
      <c r="B330" t="s">
        <v>727</v>
      </c>
      <c r="C330" t="s">
        <v>29</v>
      </c>
      <c r="D330">
        <v>52</v>
      </c>
      <c r="E330" s="1">
        <v>25367</v>
      </c>
      <c r="F330" s="2">
        <v>44447.438460648147</v>
      </c>
      <c r="G330" t="s">
        <v>30</v>
      </c>
      <c r="H330">
        <v>2065</v>
      </c>
      <c r="I330" s="6">
        <f t="shared" si="89"/>
        <v>20.858585858585858</v>
      </c>
      <c r="J330">
        <v>4.5599999999999996</v>
      </c>
      <c r="K330" s="5">
        <v>99</v>
      </c>
      <c r="L330" s="5">
        <v>780</v>
      </c>
      <c r="M330" s="6">
        <f t="shared" si="90"/>
        <v>7.8787878787878789</v>
      </c>
      <c r="N330" s="6">
        <v>2.4750000000000001</v>
      </c>
      <c r="O330" s="5">
        <v>99</v>
      </c>
      <c r="P330"/>
      <c r="Q330" s="5">
        <v>1356</v>
      </c>
      <c r="R330" s="6">
        <f t="shared" si="91"/>
        <v>13.696969696969697</v>
      </c>
      <c r="S330" s="6">
        <v>3.976</v>
      </c>
      <c r="T330" s="5">
        <v>99</v>
      </c>
      <c r="U330" s="5">
        <v>349</v>
      </c>
      <c r="V330" s="6">
        <f t="shared" si="92"/>
        <v>3.5252525252525251</v>
      </c>
      <c r="W330" s="6">
        <v>1.831</v>
      </c>
      <c r="X330" s="5">
        <v>99</v>
      </c>
      <c r="Z330" s="6">
        <f t="shared" si="93"/>
        <v>2.6474358974358974</v>
      </c>
      <c r="AA330" s="6">
        <f t="shared" si="94"/>
        <v>3.8853868194842409</v>
      </c>
      <c r="AB330" s="13">
        <f t="shared" si="99"/>
        <v>0.46760373811027023</v>
      </c>
      <c r="AC330" t="s">
        <v>40</v>
      </c>
      <c r="AE330" t="s">
        <v>746</v>
      </c>
      <c r="AF330" s="9">
        <v>0.36874999999999997</v>
      </c>
      <c r="AG330" s="9">
        <v>0.44444444444444442</v>
      </c>
      <c r="AH330" s="9">
        <f t="shared" si="100"/>
        <v>7.5694444444444453E-2</v>
      </c>
      <c r="AI330" s="9">
        <v>0.36874999999999997</v>
      </c>
      <c r="AJ330" s="9">
        <v>0.52083333333333337</v>
      </c>
      <c r="AK330" s="9">
        <f t="shared" si="101"/>
        <v>0.1520833333333334</v>
      </c>
      <c r="AM330" t="b">
        <v>1</v>
      </c>
    </row>
    <row r="331" spans="1:39" x14ac:dyDescent="0.3">
      <c r="A331" s="3">
        <v>2452528</v>
      </c>
      <c r="B331" t="s">
        <v>728</v>
      </c>
      <c r="C331" t="s">
        <v>29</v>
      </c>
      <c r="D331">
        <v>51</v>
      </c>
      <c r="E331" s="1">
        <v>25474</v>
      </c>
      <c r="F331" s="2">
        <v>44448.443668981483</v>
      </c>
      <c r="G331" t="s">
        <v>30</v>
      </c>
      <c r="H331">
        <v>2321</v>
      </c>
      <c r="I331" s="6">
        <f t="shared" si="89"/>
        <v>23.444444444444443</v>
      </c>
      <c r="J331">
        <v>4.7409999999999997</v>
      </c>
      <c r="K331">
        <v>99</v>
      </c>
      <c r="L331" s="5">
        <v>901</v>
      </c>
      <c r="M331" s="6">
        <f t="shared" si="90"/>
        <v>9.1010101010101003</v>
      </c>
      <c r="N331" s="6">
        <v>3.343</v>
      </c>
      <c r="O331" s="5">
        <v>99</v>
      </c>
      <c r="P331"/>
      <c r="Q331" s="5">
        <v>1589</v>
      </c>
      <c r="R331" s="6">
        <f t="shared" si="91"/>
        <v>16.050505050505052</v>
      </c>
      <c r="S331" s="6">
        <v>3.7429999999999999</v>
      </c>
      <c r="T331" s="5">
        <v>99</v>
      </c>
      <c r="U331" s="5">
        <v>419</v>
      </c>
      <c r="V331" s="6">
        <f t="shared" si="92"/>
        <v>4.2323232323232327</v>
      </c>
      <c r="W331" s="6">
        <v>1.9419999999999999</v>
      </c>
      <c r="X331" s="5">
        <v>99</v>
      </c>
      <c r="Z331" s="6">
        <f t="shared" si="93"/>
        <v>2.5760266370699223</v>
      </c>
      <c r="AA331" s="6">
        <f t="shared" si="94"/>
        <v>3.7923627684964201</v>
      </c>
      <c r="AB331" s="13">
        <f t="shared" si="99"/>
        <v>0.47217529272523673</v>
      </c>
      <c r="AC331" t="s">
        <v>40</v>
      </c>
      <c r="AE331" t="s">
        <v>746</v>
      </c>
      <c r="AF331" s="9">
        <v>0.37638888888888888</v>
      </c>
      <c r="AG331" s="9">
        <v>0.4236111111111111</v>
      </c>
      <c r="AH331" s="9">
        <f t="shared" si="100"/>
        <v>4.7222222222222221E-2</v>
      </c>
      <c r="AI331" s="9">
        <v>0.37638888888888888</v>
      </c>
      <c r="AJ331" s="9">
        <v>0.52083333333333337</v>
      </c>
      <c r="AK331" s="9">
        <f t="shared" si="101"/>
        <v>0.14444444444444449</v>
      </c>
      <c r="AM331" t="b">
        <v>1</v>
      </c>
    </row>
    <row r="332" spans="1:39" x14ac:dyDescent="0.3">
      <c r="A332" s="3">
        <v>1777646</v>
      </c>
      <c r="B332" t="s">
        <v>729</v>
      </c>
      <c r="C332" t="s">
        <v>29</v>
      </c>
      <c r="D332">
        <v>57</v>
      </c>
      <c r="E332" s="1">
        <v>23353</v>
      </c>
      <c r="F332" s="2">
        <v>44448.421574074076</v>
      </c>
      <c r="G332" t="s">
        <v>30</v>
      </c>
      <c r="H332">
        <v>2694</v>
      </c>
      <c r="I332" s="6">
        <f t="shared" si="89"/>
        <v>27.212121212121211</v>
      </c>
      <c r="J332">
        <v>5.3090000000000002</v>
      </c>
      <c r="K332">
        <v>99</v>
      </c>
      <c r="L332" s="5">
        <v>1266</v>
      </c>
      <c r="M332" s="6">
        <f t="shared" si="90"/>
        <v>12.787878787878787</v>
      </c>
      <c r="N332" s="6">
        <v>4.0659999999999998</v>
      </c>
      <c r="O332" s="5">
        <v>99</v>
      </c>
      <c r="P332"/>
      <c r="Q332" s="5">
        <v>1889</v>
      </c>
      <c r="R332" s="6">
        <f t="shared" si="91"/>
        <v>19.08080808080808</v>
      </c>
      <c r="S332" s="6">
        <v>5.2190000000000003</v>
      </c>
      <c r="T332" s="5">
        <v>99</v>
      </c>
      <c r="U332" s="5">
        <v>509</v>
      </c>
      <c r="V332" s="6">
        <f t="shared" si="92"/>
        <v>5.141414141414141</v>
      </c>
      <c r="W332" s="6">
        <v>2.8540000000000001</v>
      </c>
      <c r="X332" s="5">
        <v>99</v>
      </c>
      <c r="Z332" s="6">
        <f t="shared" si="93"/>
        <v>2.1279620853080567</v>
      </c>
      <c r="AA332" s="6">
        <f t="shared" si="94"/>
        <v>3.7111984282907664</v>
      </c>
      <c r="AB332" s="13">
        <f t="shared" si="99"/>
        <v>0.74401529703641811</v>
      </c>
      <c r="AC332" t="s">
        <v>31</v>
      </c>
      <c r="AE332" t="s">
        <v>745</v>
      </c>
      <c r="AF332" s="9">
        <v>0.37013888888888885</v>
      </c>
      <c r="AG332" s="9">
        <v>0.4236111111111111</v>
      </c>
      <c r="AH332" s="9">
        <f t="shared" si="100"/>
        <v>5.3472222222222254E-2</v>
      </c>
      <c r="AI332" s="9">
        <v>0.37013888888888885</v>
      </c>
      <c r="AJ332" s="9">
        <v>0.52083333333333337</v>
      </c>
      <c r="AK332" s="9">
        <f t="shared" si="101"/>
        <v>0.15069444444444452</v>
      </c>
      <c r="AM332" t="b">
        <v>1</v>
      </c>
    </row>
    <row r="333" spans="1:39" x14ac:dyDescent="0.3">
      <c r="A333" s="3">
        <v>2562587</v>
      </c>
      <c r="B333" t="s">
        <v>730</v>
      </c>
      <c r="C333" t="s">
        <v>29</v>
      </c>
      <c r="D333">
        <v>55</v>
      </c>
      <c r="E333" s="1">
        <v>24186</v>
      </c>
      <c r="F333" s="2">
        <v>44453.436550925922</v>
      </c>
      <c r="G333" t="s">
        <v>30</v>
      </c>
      <c r="H333">
        <v>2474</v>
      </c>
      <c r="I333" s="6">
        <f t="shared" si="89"/>
        <v>24.98989898989899</v>
      </c>
      <c r="J333">
        <v>5.4450000000000003</v>
      </c>
      <c r="K333">
        <v>99</v>
      </c>
      <c r="L333" s="5">
        <v>919</v>
      </c>
      <c r="M333" s="6">
        <f t="shared" si="90"/>
        <v>9.282828282828282</v>
      </c>
      <c r="N333" s="6">
        <v>3.024</v>
      </c>
      <c r="O333" s="5">
        <v>99</v>
      </c>
      <c r="P333"/>
      <c r="Q333" s="5">
        <v>1781</v>
      </c>
      <c r="R333" s="6">
        <f t="shared" si="91"/>
        <v>17.98989898989899</v>
      </c>
      <c r="S333" s="6">
        <v>5.2709999999999999</v>
      </c>
      <c r="T333" s="5">
        <v>99</v>
      </c>
      <c r="U333" s="5">
        <v>340</v>
      </c>
      <c r="V333" s="6">
        <f t="shared" si="92"/>
        <v>3.4343434343434343</v>
      </c>
      <c r="W333" s="7">
        <v>1.756</v>
      </c>
      <c r="X333" s="5">
        <v>99</v>
      </c>
      <c r="Z333" s="6">
        <f t="shared" si="93"/>
        <v>2.6920565832426551</v>
      </c>
      <c r="AA333" s="6">
        <f t="shared" si="94"/>
        <v>5.2382352941176471</v>
      </c>
      <c r="AB333" s="13">
        <f t="shared" si="99"/>
        <v>0.94581173617385517</v>
      </c>
      <c r="AC333" t="s">
        <v>40</v>
      </c>
      <c r="AE333" t="s">
        <v>746</v>
      </c>
      <c r="AF333" s="9">
        <v>0.38958333333333334</v>
      </c>
      <c r="AG333" s="9">
        <v>0.44444444444444442</v>
      </c>
      <c r="AH333" s="9">
        <f t="shared" si="100"/>
        <v>5.4861111111111083E-2</v>
      </c>
      <c r="AI333" s="9">
        <v>0.38958333333333334</v>
      </c>
      <c r="AJ333" s="9">
        <v>0.52916666666666667</v>
      </c>
      <c r="AK333" s="9">
        <f t="shared" si="101"/>
        <v>0.13958333333333334</v>
      </c>
      <c r="AM333" t="b">
        <v>1</v>
      </c>
    </row>
    <row r="334" spans="1:39" x14ac:dyDescent="0.3">
      <c r="A334" s="3">
        <v>2676864</v>
      </c>
      <c r="B334" t="s">
        <v>731</v>
      </c>
      <c r="C334" t="s">
        <v>29</v>
      </c>
      <c r="D334">
        <v>61</v>
      </c>
      <c r="E334" s="1">
        <v>22079</v>
      </c>
      <c r="F334" s="2">
        <v>44453.427939814814</v>
      </c>
      <c r="G334" t="s">
        <v>30</v>
      </c>
      <c r="H334">
        <v>2600</v>
      </c>
      <c r="I334" s="6">
        <f t="shared" si="89"/>
        <v>26.262626262626263</v>
      </c>
      <c r="J334">
        <v>5.0659999999999998</v>
      </c>
      <c r="K334">
        <v>99</v>
      </c>
      <c r="L334" s="5">
        <v>1209</v>
      </c>
      <c r="M334" s="6">
        <f t="shared" si="90"/>
        <v>12.212121212121213</v>
      </c>
      <c r="N334" s="6">
        <v>3.4049999999999998</v>
      </c>
      <c r="O334" s="5">
        <v>99</v>
      </c>
      <c r="P334"/>
      <c r="Q334" s="5">
        <v>1685</v>
      </c>
      <c r="R334" s="6">
        <f t="shared" si="91"/>
        <v>16.850000000000001</v>
      </c>
      <c r="S334" s="6">
        <v>4.298</v>
      </c>
      <c r="T334" s="5">
        <v>100</v>
      </c>
      <c r="U334" s="5">
        <v>483</v>
      </c>
      <c r="V334" s="6">
        <f t="shared" si="92"/>
        <v>4.83</v>
      </c>
      <c r="W334" s="7">
        <v>2.0449999999999999</v>
      </c>
      <c r="X334" s="5">
        <v>100</v>
      </c>
      <c r="Z334" s="6">
        <f t="shared" si="93"/>
        <v>2.150537634408602</v>
      </c>
      <c r="AA334" s="6">
        <f t="shared" si="94"/>
        <v>3.4886128364389237</v>
      </c>
      <c r="AB334" s="13">
        <f t="shared" si="99"/>
        <v>0.6222049689440996</v>
      </c>
      <c r="AC334" t="s">
        <v>40</v>
      </c>
      <c r="AE334" t="s">
        <v>745</v>
      </c>
      <c r="AF334" s="9">
        <v>0.37222222222222223</v>
      </c>
      <c r="AG334" s="9">
        <v>0.43055555555555558</v>
      </c>
      <c r="AH334" s="9">
        <f t="shared" si="100"/>
        <v>5.8333333333333348E-2</v>
      </c>
      <c r="AI334" s="9">
        <v>0.37222222222222223</v>
      </c>
      <c r="AJ334" s="9">
        <v>0.51944444444444449</v>
      </c>
      <c r="AK334" s="9">
        <f t="shared" si="101"/>
        <v>0.14722222222222225</v>
      </c>
      <c r="AM334" t="b">
        <v>1</v>
      </c>
    </row>
    <row r="335" spans="1:39" x14ac:dyDescent="0.3">
      <c r="A335" s="3">
        <v>2389341</v>
      </c>
      <c r="B335" t="s">
        <v>732</v>
      </c>
      <c r="C335" t="s">
        <v>29</v>
      </c>
      <c r="D335">
        <v>61</v>
      </c>
      <c r="E335" s="1">
        <v>21904</v>
      </c>
      <c r="F335" s="2">
        <v>44453.421180555553</v>
      </c>
      <c r="G335" t="s">
        <v>30</v>
      </c>
      <c r="H335">
        <v>1686</v>
      </c>
      <c r="I335" s="6">
        <f t="shared" ref="I335:I398" si="102">H335/K335</f>
        <v>16.86</v>
      </c>
      <c r="J335">
        <v>4.641</v>
      </c>
      <c r="K335">
        <v>100</v>
      </c>
      <c r="L335" s="5">
        <v>1151</v>
      </c>
      <c r="M335" s="6">
        <f t="shared" ref="M335:M398" si="103">L335/O335</f>
        <v>11.51</v>
      </c>
      <c r="N335" s="6">
        <v>3.3010000000000002</v>
      </c>
      <c r="O335" s="5">
        <v>100</v>
      </c>
      <c r="P335"/>
      <c r="Q335" s="5">
        <v>919</v>
      </c>
      <c r="R335" s="6">
        <f t="shared" ref="R335:R398" si="104">Q335/T335</f>
        <v>9.282828282828282</v>
      </c>
      <c r="S335" s="6">
        <v>3.1</v>
      </c>
      <c r="T335" s="5">
        <v>99</v>
      </c>
      <c r="U335" s="5">
        <v>343</v>
      </c>
      <c r="V335" s="6">
        <f t="shared" ref="V335:V398" si="105">U335/X335</f>
        <v>3.4646464646464645</v>
      </c>
      <c r="W335" s="6">
        <v>1.837</v>
      </c>
      <c r="X335" s="5">
        <v>99</v>
      </c>
      <c r="Z335" s="6">
        <f t="shared" ref="Z335:Z398" si="106">I335/M335</f>
        <v>1.4648132059079062</v>
      </c>
      <c r="AA335" s="6">
        <f t="shared" ref="AA335:AA398" si="107">R335/V335</f>
        <v>2.6793002915451893</v>
      </c>
      <c r="AB335" s="13">
        <f t="shared" si="99"/>
        <v>0.829107138534112</v>
      </c>
      <c r="AC335" t="s">
        <v>53</v>
      </c>
      <c r="AE335" t="s">
        <v>746</v>
      </c>
      <c r="AF335" s="9">
        <v>0.38194444444444442</v>
      </c>
      <c r="AG335" s="9">
        <v>0.4236111111111111</v>
      </c>
      <c r="AH335" s="9">
        <f t="shared" si="100"/>
        <v>4.1666666666666685E-2</v>
      </c>
      <c r="AI335" s="9">
        <v>0.38194444444444442</v>
      </c>
      <c r="AJ335" s="9">
        <v>0.52083333333333337</v>
      </c>
      <c r="AK335" s="9">
        <f t="shared" si="101"/>
        <v>0.13888888888888895</v>
      </c>
      <c r="AM335" t="b">
        <v>1</v>
      </c>
    </row>
    <row r="336" spans="1:39" x14ac:dyDescent="0.3">
      <c r="A336" s="3">
        <v>1796797</v>
      </c>
      <c r="B336" t="s">
        <v>733</v>
      </c>
      <c r="C336" t="s">
        <v>29</v>
      </c>
      <c r="D336">
        <v>46</v>
      </c>
      <c r="E336" s="1">
        <v>27365</v>
      </c>
      <c r="F336" s="2">
        <v>44453.414363425924</v>
      </c>
      <c r="G336" t="s">
        <v>30</v>
      </c>
      <c r="H336">
        <v>2303</v>
      </c>
      <c r="I336" s="6">
        <f t="shared" si="102"/>
        <v>23.03</v>
      </c>
      <c r="J336">
        <v>1.9359999999999999</v>
      </c>
      <c r="K336">
        <v>100</v>
      </c>
      <c r="L336" s="5">
        <v>1130</v>
      </c>
      <c r="M336" s="6">
        <f t="shared" si="103"/>
        <v>11.3</v>
      </c>
      <c r="N336" s="6">
        <v>1.1930000000000001</v>
      </c>
      <c r="O336" s="5">
        <v>100</v>
      </c>
      <c r="P336"/>
      <c r="Q336" s="5">
        <v>1518</v>
      </c>
      <c r="R336" s="6">
        <f t="shared" si="104"/>
        <v>15.18</v>
      </c>
      <c r="S336" s="6">
        <v>1.123</v>
      </c>
      <c r="T336" s="5">
        <v>100</v>
      </c>
      <c r="U336" s="5">
        <v>342</v>
      </c>
      <c r="V336" s="6">
        <f t="shared" si="105"/>
        <v>3.42</v>
      </c>
      <c r="W336" s="6">
        <v>0.65400000000000003</v>
      </c>
      <c r="X336" s="5">
        <v>100</v>
      </c>
      <c r="Z336" s="6">
        <f t="shared" si="106"/>
        <v>2.0380530973451325</v>
      </c>
      <c r="AA336" s="6">
        <f t="shared" si="107"/>
        <v>4.4385964912280702</v>
      </c>
      <c r="AB336" s="13">
        <f t="shared" si="99"/>
        <v>1.1778610660389579</v>
      </c>
      <c r="AC336" t="s">
        <v>31</v>
      </c>
      <c r="AE336" t="s">
        <v>745</v>
      </c>
      <c r="AF336" s="9">
        <v>0.37777777777777777</v>
      </c>
      <c r="AG336" s="9">
        <v>0.4236111111111111</v>
      </c>
      <c r="AH336" s="9">
        <f t="shared" si="100"/>
        <v>4.5833333333333337E-2</v>
      </c>
      <c r="AI336" s="9">
        <v>0.37777777777777777</v>
      </c>
      <c r="AJ336" s="9">
        <v>0.52083333333333337</v>
      </c>
      <c r="AK336" s="9">
        <f t="shared" si="101"/>
        <v>0.1430555555555556</v>
      </c>
      <c r="AM336" t="b">
        <v>1</v>
      </c>
    </row>
    <row r="337" spans="1:39" x14ac:dyDescent="0.3">
      <c r="A337" s="3">
        <v>2478888</v>
      </c>
      <c r="B337" t="s">
        <v>734</v>
      </c>
      <c r="C337" t="s">
        <v>52</v>
      </c>
      <c r="D337">
        <v>81</v>
      </c>
      <c r="E337" s="1">
        <v>14512</v>
      </c>
      <c r="F337" s="2">
        <v>44454.441018518519</v>
      </c>
      <c r="G337" t="s">
        <v>30</v>
      </c>
      <c r="H337">
        <v>1948</v>
      </c>
      <c r="I337" s="6">
        <f t="shared" si="102"/>
        <v>19.676767676767678</v>
      </c>
      <c r="J337">
        <v>1.609</v>
      </c>
      <c r="K337" s="5">
        <v>99</v>
      </c>
      <c r="L337" s="5">
        <v>740</v>
      </c>
      <c r="M337" s="6">
        <f t="shared" si="103"/>
        <v>7.4747474747474749</v>
      </c>
      <c r="N337" s="6">
        <v>0.8</v>
      </c>
      <c r="O337" s="5">
        <v>99</v>
      </c>
      <c r="P337"/>
      <c r="Q337" s="5">
        <v>1481</v>
      </c>
      <c r="R337" s="6">
        <f t="shared" si="104"/>
        <v>14.95959595959596</v>
      </c>
      <c r="S337" s="6">
        <v>1.2030000000000001</v>
      </c>
      <c r="T337" s="5">
        <v>99</v>
      </c>
      <c r="U337" s="5">
        <v>330</v>
      </c>
      <c r="V337" s="6">
        <f t="shared" si="105"/>
        <v>3.3333333333333335</v>
      </c>
      <c r="W337" s="6">
        <v>0.623</v>
      </c>
      <c r="X337" s="5">
        <v>99</v>
      </c>
      <c r="Z337" s="6">
        <f t="shared" si="106"/>
        <v>2.6324324324324326</v>
      </c>
      <c r="AA337" s="6">
        <f t="shared" si="107"/>
        <v>4.4878787878787882</v>
      </c>
      <c r="AB337" s="13">
        <f t="shared" si="99"/>
        <v>0.70484101798270182</v>
      </c>
      <c r="AC337" t="s">
        <v>39</v>
      </c>
      <c r="AE337" t="s">
        <v>745</v>
      </c>
      <c r="AF337" s="9">
        <v>0.37847222222222227</v>
      </c>
      <c r="AG337" s="9">
        <v>0.44444444444444442</v>
      </c>
      <c r="AH337" s="9">
        <f t="shared" si="100"/>
        <v>6.5972222222222154E-2</v>
      </c>
      <c r="AI337" s="9">
        <v>0.37847222222222227</v>
      </c>
      <c r="AJ337" s="9">
        <v>0.52083333333333337</v>
      </c>
      <c r="AK337" s="9">
        <f t="shared" si="101"/>
        <v>0.1423611111111111</v>
      </c>
      <c r="AM337" t="b">
        <v>1</v>
      </c>
    </row>
    <row r="338" spans="1:39" x14ac:dyDescent="0.3">
      <c r="A338" s="3">
        <v>2205856</v>
      </c>
      <c r="B338" t="s">
        <v>735</v>
      </c>
      <c r="C338" t="s">
        <v>52</v>
      </c>
      <c r="D338">
        <v>64</v>
      </c>
      <c r="E338" s="1">
        <v>20771</v>
      </c>
      <c r="F338" s="2">
        <v>44455.442997685182</v>
      </c>
      <c r="G338" t="s">
        <v>30</v>
      </c>
      <c r="H338">
        <v>1885</v>
      </c>
      <c r="I338" s="6">
        <f t="shared" si="102"/>
        <v>19.040404040404042</v>
      </c>
      <c r="J338">
        <v>4.492</v>
      </c>
      <c r="K338">
        <v>99</v>
      </c>
      <c r="L338">
        <v>1544</v>
      </c>
      <c r="M338" s="6">
        <f t="shared" si="103"/>
        <v>15.595959595959595</v>
      </c>
      <c r="N338" s="6">
        <v>3.508</v>
      </c>
      <c r="O338" s="5">
        <v>99</v>
      </c>
      <c r="P338"/>
      <c r="Q338" s="5">
        <v>1225</v>
      </c>
      <c r="R338" s="6">
        <f t="shared" si="104"/>
        <v>12.373737373737374</v>
      </c>
      <c r="S338" s="6">
        <v>3.524</v>
      </c>
      <c r="T338" s="5">
        <v>99</v>
      </c>
      <c r="U338" s="5">
        <v>727</v>
      </c>
      <c r="V338" s="6">
        <f t="shared" si="105"/>
        <v>7.3434343434343434</v>
      </c>
      <c r="W338" s="6">
        <v>2.9350000000000001</v>
      </c>
      <c r="X338" s="5">
        <v>99</v>
      </c>
      <c r="Z338" s="6">
        <f t="shared" si="106"/>
        <v>1.2208549222797929</v>
      </c>
      <c r="AA338" s="6">
        <f t="shared" si="107"/>
        <v>1.6850068775790921</v>
      </c>
      <c r="AB338" s="13">
        <f t="shared" si="99"/>
        <v>0.38018600476504927</v>
      </c>
      <c r="AC338" t="s">
        <v>40</v>
      </c>
      <c r="AE338" t="s">
        <v>747</v>
      </c>
      <c r="AF338" s="9">
        <v>0.38472222222222219</v>
      </c>
      <c r="AG338" s="9">
        <v>0.44444444444444442</v>
      </c>
      <c r="AH338" s="9">
        <f t="shared" si="100"/>
        <v>5.9722222222222232E-2</v>
      </c>
      <c r="AI338" s="9">
        <v>0.38472222222222219</v>
      </c>
      <c r="AJ338" s="9">
        <v>0.51944444444444449</v>
      </c>
      <c r="AK338" s="9">
        <f t="shared" si="101"/>
        <v>0.1347222222222223</v>
      </c>
      <c r="AM338" t="b">
        <v>1</v>
      </c>
    </row>
    <row r="339" spans="1:39" x14ac:dyDescent="0.3">
      <c r="A339" s="3">
        <v>2685484</v>
      </c>
      <c r="B339" t="s">
        <v>736</v>
      </c>
      <c r="C339" t="s">
        <v>29</v>
      </c>
      <c r="D339">
        <v>39</v>
      </c>
      <c r="E339" s="1">
        <v>29954</v>
      </c>
      <c r="F339" s="2">
        <v>44455.442696759259</v>
      </c>
      <c r="G339" t="s">
        <v>30</v>
      </c>
      <c r="H339">
        <v>1504</v>
      </c>
      <c r="I339" s="6">
        <f t="shared" si="102"/>
        <v>15.04</v>
      </c>
      <c r="J339">
        <v>4.5369999999999999</v>
      </c>
      <c r="K339">
        <v>100</v>
      </c>
      <c r="L339">
        <v>888</v>
      </c>
      <c r="M339" s="6">
        <f t="shared" si="103"/>
        <v>8.8800000000000008</v>
      </c>
      <c r="N339" s="6">
        <v>2.9889999999999999</v>
      </c>
      <c r="O339" s="5">
        <v>100</v>
      </c>
      <c r="P339"/>
      <c r="Q339" s="5">
        <v>1071</v>
      </c>
      <c r="R339" s="6">
        <f t="shared" si="104"/>
        <v>10.71</v>
      </c>
      <c r="S339" s="6">
        <v>3.226</v>
      </c>
      <c r="T339" s="5">
        <v>100</v>
      </c>
      <c r="U339" s="5">
        <v>326</v>
      </c>
      <c r="V339" s="6">
        <f t="shared" si="105"/>
        <v>3.26</v>
      </c>
      <c r="W339" s="6">
        <v>1.679</v>
      </c>
      <c r="X339" s="5">
        <v>100</v>
      </c>
      <c r="Z339" s="6">
        <f t="shared" si="106"/>
        <v>1.6936936936936935</v>
      </c>
      <c r="AA339" s="6">
        <f t="shared" si="107"/>
        <v>3.2852760736196323</v>
      </c>
      <c r="AB339" s="13">
        <f t="shared" si="99"/>
        <v>0.93971087325414482</v>
      </c>
      <c r="AC339" t="s">
        <v>31</v>
      </c>
      <c r="AE339" t="s">
        <v>746</v>
      </c>
      <c r="AF339" s="9">
        <v>0.38750000000000001</v>
      </c>
      <c r="AG339" s="9">
        <v>0.44444444444444442</v>
      </c>
      <c r="AH339" s="9">
        <f t="shared" si="100"/>
        <v>5.6944444444444409E-2</v>
      </c>
      <c r="AI339" s="9">
        <v>0.38750000000000001</v>
      </c>
      <c r="AJ339" s="9">
        <v>0.52777777777777779</v>
      </c>
      <c r="AK339" s="9">
        <f t="shared" si="101"/>
        <v>0.14027777777777778</v>
      </c>
      <c r="AM339" t="b">
        <v>1</v>
      </c>
    </row>
    <row r="340" spans="1:39" x14ac:dyDescent="0.3">
      <c r="A340" s="3">
        <v>2643711</v>
      </c>
      <c r="B340" t="s">
        <v>737</v>
      </c>
      <c r="C340" t="s">
        <v>29</v>
      </c>
      <c r="D340">
        <v>49</v>
      </c>
      <c r="E340" s="1">
        <v>26210</v>
      </c>
      <c r="F340" s="2">
        <v>44455.430833333332</v>
      </c>
      <c r="G340" t="s">
        <v>30</v>
      </c>
      <c r="H340">
        <v>2428</v>
      </c>
      <c r="I340" s="6">
        <f t="shared" si="102"/>
        <v>24.525252525252526</v>
      </c>
      <c r="J340">
        <v>1.625</v>
      </c>
      <c r="K340">
        <v>99</v>
      </c>
      <c r="L340">
        <v>1052</v>
      </c>
      <c r="M340" s="6">
        <f t="shared" si="103"/>
        <v>10.626262626262626</v>
      </c>
      <c r="N340" s="6">
        <v>0.82799999999999996</v>
      </c>
      <c r="O340" s="5">
        <v>99</v>
      </c>
      <c r="P340"/>
      <c r="Q340" s="5">
        <v>1854</v>
      </c>
      <c r="R340" s="6">
        <f t="shared" si="104"/>
        <v>18.54</v>
      </c>
      <c r="S340" s="6">
        <v>1.855</v>
      </c>
      <c r="T340" s="5">
        <v>100</v>
      </c>
      <c r="U340" s="5">
        <v>511</v>
      </c>
      <c r="V340" s="6">
        <f t="shared" si="105"/>
        <v>5.1100000000000003</v>
      </c>
      <c r="W340" s="6">
        <v>0.70899999999999996</v>
      </c>
      <c r="X340" s="5">
        <v>100</v>
      </c>
      <c r="Z340" s="6">
        <f t="shared" si="106"/>
        <v>2.3079847908745248</v>
      </c>
      <c r="AA340" s="6">
        <f t="shared" si="107"/>
        <v>3.6281800391389427</v>
      </c>
      <c r="AB340" s="13">
        <f t="shared" si="99"/>
        <v>0.57201210921506074</v>
      </c>
      <c r="AC340" t="s">
        <v>39</v>
      </c>
      <c r="AE340" t="s">
        <v>746</v>
      </c>
      <c r="AF340" s="9">
        <v>0.37291666666666662</v>
      </c>
      <c r="AG340" s="9">
        <v>0.4375</v>
      </c>
      <c r="AH340" s="9">
        <f t="shared" si="100"/>
        <v>6.4583333333333381E-2</v>
      </c>
      <c r="AI340" s="9">
        <v>0.37291666666666662</v>
      </c>
      <c r="AJ340" s="9">
        <v>0.52083333333333337</v>
      </c>
      <c r="AK340" s="9">
        <f t="shared" si="101"/>
        <v>0.14791666666666675</v>
      </c>
      <c r="AM340" t="b">
        <v>1</v>
      </c>
    </row>
    <row r="341" spans="1:39" x14ac:dyDescent="0.3">
      <c r="A341" s="3">
        <v>2663150</v>
      </c>
      <c r="B341" t="s">
        <v>738</v>
      </c>
      <c r="C341" t="s">
        <v>29</v>
      </c>
      <c r="D341">
        <v>49</v>
      </c>
      <c r="E341" s="1">
        <v>26460</v>
      </c>
      <c r="F341" s="2">
        <v>44462.442499999997</v>
      </c>
      <c r="G341" t="s">
        <v>30</v>
      </c>
      <c r="H341">
        <v>2101</v>
      </c>
      <c r="I341" s="6">
        <f t="shared" si="102"/>
        <v>21.01</v>
      </c>
      <c r="J341">
        <v>4.6959999999999997</v>
      </c>
      <c r="K341">
        <v>100</v>
      </c>
      <c r="L341" s="5">
        <v>766</v>
      </c>
      <c r="M341" s="6">
        <f t="shared" si="103"/>
        <v>7.66</v>
      </c>
      <c r="N341" s="6">
        <v>2.8610000000000002</v>
      </c>
      <c r="O341" s="5">
        <v>100</v>
      </c>
      <c r="P341"/>
      <c r="Q341" s="5">
        <v>1503</v>
      </c>
      <c r="R341" s="6">
        <f t="shared" si="104"/>
        <v>15.181818181818182</v>
      </c>
      <c r="S341" s="6">
        <v>4.2869999999999999</v>
      </c>
      <c r="T341" s="5">
        <v>99</v>
      </c>
      <c r="U341" s="5">
        <v>353</v>
      </c>
      <c r="V341" s="6">
        <f t="shared" si="105"/>
        <v>3.5656565656565657</v>
      </c>
      <c r="W341" s="6">
        <v>2.3090000000000002</v>
      </c>
      <c r="X341" s="5">
        <v>99</v>
      </c>
      <c r="Z341" s="6">
        <f t="shared" si="106"/>
        <v>2.7428198433420365</v>
      </c>
      <c r="AA341" s="6">
        <f t="shared" si="107"/>
        <v>4.2577903682719542</v>
      </c>
      <c r="AB341" s="13">
        <f t="shared" si="99"/>
        <v>0.55234051503870396</v>
      </c>
      <c r="AC341" t="s">
        <v>31</v>
      </c>
      <c r="AE341" t="s">
        <v>746</v>
      </c>
      <c r="AF341" s="9">
        <v>0.38263888888888892</v>
      </c>
      <c r="AG341" s="9">
        <v>0.44444444444444442</v>
      </c>
      <c r="AH341" s="9">
        <f t="shared" si="100"/>
        <v>6.1805555555555503E-2</v>
      </c>
      <c r="AI341" s="9">
        <v>0.38263888888888892</v>
      </c>
      <c r="AJ341" s="9">
        <v>0.52083333333333337</v>
      </c>
      <c r="AK341" s="9">
        <f t="shared" si="101"/>
        <v>0.13819444444444445</v>
      </c>
      <c r="AM341" t="b">
        <v>1</v>
      </c>
    </row>
    <row r="342" spans="1:39" x14ac:dyDescent="0.3">
      <c r="A342" s="3" t="s">
        <v>739</v>
      </c>
      <c r="B342" t="s">
        <v>740</v>
      </c>
      <c r="C342" t="s">
        <v>29</v>
      </c>
      <c r="D342">
        <v>47</v>
      </c>
      <c r="E342" s="1">
        <v>27236</v>
      </c>
      <c r="F342" s="2">
        <v>44462.438831018517</v>
      </c>
      <c r="G342" t="s">
        <v>30</v>
      </c>
      <c r="H342">
        <v>3404</v>
      </c>
      <c r="I342" s="6">
        <f t="shared" si="102"/>
        <v>34.383838383838381</v>
      </c>
      <c r="J342">
        <v>1.754</v>
      </c>
      <c r="K342">
        <v>99</v>
      </c>
      <c r="L342" s="5">
        <v>1373</v>
      </c>
      <c r="M342" s="6">
        <f t="shared" si="103"/>
        <v>13.868686868686869</v>
      </c>
      <c r="N342" s="6">
        <v>1.595</v>
      </c>
      <c r="O342" s="5">
        <v>99</v>
      </c>
      <c r="P342"/>
      <c r="Q342" s="5">
        <v>2507</v>
      </c>
      <c r="R342" s="6">
        <f t="shared" si="104"/>
        <v>25.07</v>
      </c>
      <c r="S342" s="6">
        <v>3.2879999999999998</v>
      </c>
      <c r="T342" s="5">
        <v>100</v>
      </c>
      <c r="U342" s="5">
        <v>575</v>
      </c>
      <c r="V342" s="6">
        <f t="shared" si="105"/>
        <v>5.75</v>
      </c>
      <c r="W342" s="6">
        <v>0.77</v>
      </c>
      <c r="X342" s="5">
        <v>100</v>
      </c>
      <c r="Z342" s="6">
        <f t="shared" si="106"/>
        <v>2.4792425345957754</v>
      </c>
      <c r="AA342" s="6">
        <f t="shared" si="107"/>
        <v>4.3600000000000003</v>
      </c>
      <c r="AB342" s="13">
        <f t="shared" si="99"/>
        <v>0.75860164512338457</v>
      </c>
      <c r="AC342" t="s">
        <v>39</v>
      </c>
      <c r="AE342" t="s">
        <v>746</v>
      </c>
      <c r="AF342" s="9">
        <v>0.39513888888888887</v>
      </c>
      <c r="AG342" s="9">
        <v>0.44444444444444442</v>
      </c>
      <c r="AH342" s="9">
        <f t="shared" si="100"/>
        <v>4.9305555555555547E-2</v>
      </c>
      <c r="AI342" s="9">
        <v>0.39513888888888887</v>
      </c>
      <c r="AJ342" s="9">
        <v>0.51736111111111105</v>
      </c>
      <c r="AK342" s="9">
        <f t="shared" si="101"/>
        <v>0.12222222222222218</v>
      </c>
      <c r="AM342" t="b">
        <v>1</v>
      </c>
    </row>
    <row r="343" spans="1:39" x14ac:dyDescent="0.3">
      <c r="A343" s="3">
        <v>1483723</v>
      </c>
      <c r="B343" t="s">
        <v>741</v>
      </c>
      <c r="C343" t="s">
        <v>29</v>
      </c>
      <c r="D343">
        <v>60</v>
      </c>
      <c r="E343" s="1">
        <v>22446</v>
      </c>
      <c r="F343" s="2">
        <v>44463.431192129632</v>
      </c>
      <c r="G343" t="s">
        <v>30</v>
      </c>
      <c r="H343">
        <v>2378</v>
      </c>
      <c r="I343" s="6">
        <f t="shared" si="102"/>
        <v>24.020202020202021</v>
      </c>
      <c r="J343">
        <v>4.7830000000000004</v>
      </c>
      <c r="K343">
        <v>99</v>
      </c>
      <c r="L343" s="5">
        <v>1121</v>
      </c>
      <c r="M343" s="6">
        <f t="shared" si="103"/>
        <v>11.323232323232324</v>
      </c>
      <c r="N343" s="6">
        <v>3.3069999999999999</v>
      </c>
      <c r="O343" s="5">
        <v>99</v>
      </c>
      <c r="P343"/>
      <c r="Q343" s="5">
        <v>1555</v>
      </c>
      <c r="R343" s="6">
        <f t="shared" si="104"/>
        <v>15.55</v>
      </c>
      <c r="S343" s="6">
        <v>4.617</v>
      </c>
      <c r="T343" s="5">
        <v>100</v>
      </c>
      <c r="U343" s="5">
        <v>455</v>
      </c>
      <c r="V343" s="6">
        <f t="shared" si="105"/>
        <v>4.55</v>
      </c>
      <c r="W343" s="6">
        <v>2.1669999999999998</v>
      </c>
      <c r="X343" s="5">
        <v>100</v>
      </c>
      <c r="Z343" s="6">
        <f t="shared" si="106"/>
        <v>2.1213202497769847</v>
      </c>
      <c r="AA343" s="6">
        <f t="shared" si="107"/>
        <v>3.4175824175824179</v>
      </c>
      <c r="AB343" s="13">
        <f t="shared" si="99"/>
        <v>0.61106387304873444</v>
      </c>
      <c r="AC343" t="s">
        <v>31</v>
      </c>
      <c r="AE343" t="s">
        <v>746</v>
      </c>
      <c r="AF343" s="9">
        <v>0.38055555555555554</v>
      </c>
      <c r="AG343" s="9">
        <v>0.43055555555555558</v>
      </c>
      <c r="AH343" s="9">
        <f t="shared" si="100"/>
        <v>5.0000000000000044E-2</v>
      </c>
      <c r="AI343" s="9">
        <v>0.38055555555555554</v>
      </c>
      <c r="AJ343" s="9">
        <v>0.52083333333333337</v>
      </c>
      <c r="AK343" s="9">
        <f t="shared" si="101"/>
        <v>0.14027777777777783</v>
      </c>
      <c r="AM343" t="b">
        <v>1</v>
      </c>
    </row>
    <row r="344" spans="1:39" x14ac:dyDescent="0.3">
      <c r="A344" s="3">
        <v>1028920</v>
      </c>
      <c r="B344" t="s">
        <v>742</v>
      </c>
      <c r="C344" t="s">
        <v>29</v>
      </c>
      <c r="D344">
        <v>49</v>
      </c>
      <c r="E344" s="1">
        <v>26465</v>
      </c>
      <c r="F344" s="2">
        <v>44466.435266203705</v>
      </c>
      <c r="G344" t="s">
        <v>30</v>
      </c>
      <c r="H344">
        <v>2234</v>
      </c>
      <c r="I344" s="6">
        <f t="shared" si="102"/>
        <v>22.34</v>
      </c>
      <c r="J344">
        <v>4.5039999999999996</v>
      </c>
      <c r="K344">
        <v>100</v>
      </c>
      <c r="L344" s="5">
        <v>1160</v>
      </c>
      <c r="M344" s="6">
        <f t="shared" si="103"/>
        <v>11.6</v>
      </c>
      <c r="N344" s="6">
        <v>3.3719999999999999</v>
      </c>
      <c r="O344" s="5">
        <v>100</v>
      </c>
      <c r="P344"/>
      <c r="Q344" s="5">
        <v>1746</v>
      </c>
      <c r="R344" s="6">
        <f t="shared" si="104"/>
        <v>17.46</v>
      </c>
      <c r="S344" s="6">
        <v>4.8230000000000004</v>
      </c>
      <c r="T344" s="5">
        <v>100</v>
      </c>
      <c r="U344" s="5">
        <v>351</v>
      </c>
      <c r="V344" s="6">
        <f t="shared" si="105"/>
        <v>3.51</v>
      </c>
      <c r="W344" s="6">
        <v>2.12</v>
      </c>
      <c r="X344" s="5">
        <v>100</v>
      </c>
      <c r="Z344" s="6">
        <f t="shared" si="106"/>
        <v>1.9258620689655173</v>
      </c>
      <c r="AA344" s="6">
        <f t="shared" si="107"/>
        <v>4.9743589743589753</v>
      </c>
      <c r="AB344" s="13">
        <f t="shared" si="99"/>
        <v>1.5829258774648216</v>
      </c>
      <c r="AC344" t="s">
        <v>31</v>
      </c>
      <c r="AE344" t="s">
        <v>746</v>
      </c>
      <c r="AF344" s="9">
        <v>0.39305555555555555</v>
      </c>
      <c r="AG344" s="9">
        <v>0.4375</v>
      </c>
      <c r="AH344" s="9">
        <f t="shared" si="100"/>
        <v>4.4444444444444453E-2</v>
      </c>
      <c r="AI344" s="9">
        <v>0.39305555555555555</v>
      </c>
      <c r="AJ344" s="9">
        <v>0.53472222222222221</v>
      </c>
      <c r="AK344" s="9">
        <f t="shared" si="101"/>
        <v>0.14166666666666666</v>
      </c>
      <c r="AM344" t="b">
        <v>1</v>
      </c>
    </row>
    <row r="345" spans="1:39" x14ac:dyDescent="0.3">
      <c r="A345" s="3">
        <v>1418607</v>
      </c>
      <c r="B345" t="s">
        <v>743</v>
      </c>
      <c r="C345" t="s">
        <v>52</v>
      </c>
      <c r="D345">
        <v>79</v>
      </c>
      <c r="E345" s="1">
        <v>15345</v>
      </c>
      <c r="F345" s="2">
        <v>44467.419016203705</v>
      </c>
      <c r="G345" t="s">
        <v>30</v>
      </c>
      <c r="H345">
        <v>3302</v>
      </c>
      <c r="I345" s="6">
        <f t="shared" si="102"/>
        <v>33.353535353535356</v>
      </c>
      <c r="J345">
        <v>5.609</v>
      </c>
      <c r="K345">
        <v>99</v>
      </c>
      <c r="L345">
        <v>1654</v>
      </c>
      <c r="M345" s="6">
        <f t="shared" si="103"/>
        <v>16.707070707070706</v>
      </c>
      <c r="N345" s="6">
        <v>4.1479999999999997</v>
      </c>
      <c r="O345" s="5">
        <v>99</v>
      </c>
      <c r="P345"/>
      <c r="Q345" s="5">
        <v>2188</v>
      </c>
      <c r="R345" s="6">
        <f t="shared" si="104"/>
        <v>22.1010101010101</v>
      </c>
      <c r="S345" s="6">
        <v>5.4690000000000003</v>
      </c>
      <c r="T345" s="5">
        <v>99</v>
      </c>
      <c r="U345" s="5">
        <v>637</v>
      </c>
      <c r="V345" s="6">
        <f t="shared" si="105"/>
        <v>6.4343434343434343</v>
      </c>
      <c r="W345" s="6">
        <v>2.6150000000000002</v>
      </c>
      <c r="X345" s="5">
        <v>99</v>
      </c>
      <c r="Z345" s="6">
        <f t="shared" si="106"/>
        <v>1.9963724304715844</v>
      </c>
      <c r="AA345" s="6">
        <f t="shared" si="107"/>
        <v>3.4348508634222918</v>
      </c>
      <c r="AB345" s="13">
        <f t="shared" si="99"/>
        <v>0.72054613207161411</v>
      </c>
      <c r="AC345" t="s">
        <v>40</v>
      </c>
      <c r="AE345" t="s">
        <v>746</v>
      </c>
      <c r="AF345" s="9">
        <v>0.3743055555555555</v>
      </c>
      <c r="AG345" s="9">
        <v>0.4236111111111111</v>
      </c>
      <c r="AH345" s="9">
        <f t="shared" si="100"/>
        <v>4.9305555555555602E-2</v>
      </c>
      <c r="AI345" s="9">
        <v>0.3743055555555555</v>
      </c>
      <c r="AJ345" s="9">
        <v>0.52013888888888882</v>
      </c>
      <c r="AK345" s="9">
        <f t="shared" si="101"/>
        <v>0.14583333333333331</v>
      </c>
      <c r="AM345" t="b">
        <v>1</v>
      </c>
    </row>
    <row r="346" spans="1:39" x14ac:dyDescent="0.3">
      <c r="A346" s="3">
        <v>2069599</v>
      </c>
      <c r="B346" t="s">
        <v>744</v>
      </c>
      <c r="C346" t="s">
        <v>29</v>
      </c>
      <c r="D346">
        <v>37</v>
      </c>
      <c r="E346" s="1">
        <v>30720</v>
      </c>
      <c r="F346" s="2">
        <v>44469.441724537035</v>
      </c>
      <c r="G346" t="s">
        <v>30</v>
      </c>
      <c r="H346">
        <v>2462</v>
      </c>
      <c r="I346" s="6">
        <f t="shared" si="102"/>
        <v>24.868686868686869</v>
      </c>
      <c r="J346">
        <v>4.6660000000000004</v>
      </c>
      <c r="K346">
        <v>99</v>
      </c>
      <c r="L346" s="5">
        <v>1237</v>
      </c>
      <c r="M346" s="6">
        <f t="shared" si="103"/>
        <v>12.494949494949495</v>
      </c>
      <c r="N346" s="6">
        <v>3.5609999999999999</v>
      </c>
      <c r="O346" s="5">
        <v>99</v>
      </c>
      <c r="P346"/>
      <c r="Q346" s="5">
        <v>1701</v>
      </c>
      <c r="R346" s="6">
        <f t="shared" si="104"/>
        <v>17.181818181818183</v>
      </c>
      <c r="S346" s="6">
        <v>4.4429999999999996</v>
      </c>
      <c r="T346" s="5">
        <v>99</v>
      </c>
      <c r="U346" s="5">
        <v>566</v>
      </c>
      <c r="V346" s="6">
        <f t="shared" si="105"/>
        <v>5.7171717171717171</v>
      </c>
      <c r="W346" s="6">
        <v>2.3210000000000002</v>
      </c>
      <c r="X346" s="5">
        <v>99</v>
      </c>
      <c r="Z346" s="6">
        <f t="shared" si="106"/>
        <v>1.9902991107518189</v>
      </c>
      <c r="AA346" s="6">
        <f t="shared" si="107"/>
        <v>3.0053003533568909</v>
      </c>
      <c r="AB346" s="13">
        <f t="shared" si="99"/>
        <v>0.50997422303106177</v>
      </c>
      <c r="AC346" t="s">
        <v>40</v>
      </c>
      <c r="AE346" t="s">
        <v>745</v>
      </c>
      <c r="AF346" s="9">
        <v>0.38263888888888892</v>
      </c>
      <c r="AG346" s="9">
        <v>0.44444444444444442</v>
      </c>
      <c r="AH346" s="9">
        <f t="shared" si="100"/>
        <v>6.1805555555555503E-2</v>
      </c>
      <c r="AI346" s="9">
        <v>0.38263888888888892</v>
      </c>
      <c r="AJ346" s="9">
        <v>0.51944444444444449</v>
      </c>
      <c r="AK346" s="9">
        <f t="shared" si="101"/>
        <v>0.13680555555555557</v>
      </c>
      <c r="AM346" t="b">
        <v>1</v>
      </c>
    </row>
    <row r="347" spans="1:39" x14ac:dyDescent="0.3">
      <c r="A347" s="3">
        <v>1641812</v>
      </c>
      <c r="B347" t="s">
        <v>748</v>
      </c>
      <c r="C347" t="s">
        <v>52</v>
      </c>
      <c r="D347">
        <v>86</v>
      </c>
      <c r="E347" s="1">
        <v>13053</v>
      </c>
      <c r="F347" s="2">
        <v>44470.440254629626</v>
      </c>
      <c r="G347" t="s">
        <v>30</v>
      </c>
      <c r="H347">
        <v>2953</v>
      </c>
      <c r="I347" s="6">
        <f t="shared" si="102"/>
        <v>29.828282828282827</v>
      </c>
      <c r="J347">
        <v>5.5510000000000002</v>
      </c>
      <c r="K347">
        <v>99</v>
      </c>
      <c r="L347" s="5">
        <v>1078</v>
      </c>
      <c r="M347" s="6">
        <f t="shared" si="103"/>
        <v>10.888888888888889</v>
      </c>
      <c r="N347" s="6">
        <v>3.4159999999999999</v>
      </c>
      <c r="O347" s="5">
        <v>99</v>
      </c>
      <c r="P347"/>
      <c r="Q347" s="5">
        <v>2707</v>
      </c>
      <c r="R347" s="6">
        <f t="shared" si="104"/>
        <v>27.343434343434343</v>
      </c>
      <c r="S347" s="6">
        <v>5.601</v>
      </c>
      <c r="T347" s="5">
        <v>99</v>
      </c>
      <c r="U347" s="5">
        <v>573</v>
      </c>
      <c r="V347" s="6">
        <f t="shared" si="105"/>
        <v>5.7878787878787881</v>
      </c>
      <c r="W347" s="6">
        <v>2.4209999999999998</v>
      </c>
      <c r="X347" s="5">
        <v>99</v>
      </c>
      <c r="Z347" s="6">
        <f t="shared" si="106"/>
        <v>2.7393320964749535</v>
      </c>
      <c r="AA347" s="6">
        <f t="shared" si="107"/>
        <v>4.7242582897033154</v>
      </c>
      <c r="AB347" s="13">
        <f t="shared" ref="AB347:AB364" si="108">(AA347-Z347)/Z347</f>
        <v>0.72460224730788159</v>
      </c>
      <c r="AC347" t="s">
        <v>40</v>
      </c>
      <c r="AE347" t="s">
        <v>771</v>
      </c>
      <c r="AF347" s="9">
        <v>0.38611111111111113</v>
      </c>
      <c r="AG347" s="9">
        <v>0.4375</v>
      </c>
      <c r="AH347" s="9">
        <f>AG347-AF347</f>
        <v>5.1388888888888873E-2</v>
      </c>
      <c r="AI347" s="9">
        <v>0.38611111111111113</v>
      </c>
      <c r="AJ347" s="9">
        <v>0.52013888888888882</v>
      </c>
      <c r="AK347" s="9">
        <f>AJ347-AI347</f>
        <v>0.13402777777777769</v>
      </c>
      <c r="AM347" t="b">
        <v>1</v>
      </c>
    </row>
    <row r="348" spans="1:39" x14ac:dyDescent="0.3">
      <c r="A348" s="3">
        <v>2382546</v>
      </c>
      <c r="B348" t="s">
        <v>436</v>
      </c>
      <c r="C348" t="s">
        <v>29</v>
      </c>
      <c r="D348">
        <v>59</v>
      </c>
      <c r="E348" s="1">
        <v>22870</v>
      </c>
      <c r="F348" s="2">
        <v>44473.430266203701</v>
      </c>
      <c r="G348" t="s">
        <v>30</v>
      </c>
      <c r="H348">
        <v>3599</v>
      </c>
      <c r="I348" s="6">
        <f t="shared" si="102"/>
        <v>36.353535353535356</v>
      </c>
      <c r="J348">
        <v>7.0339999999999998</v>
      </c>
      <c r="K348">
        <v>99</v>
      </c>
      <c r="L348" s="5">
        <v>1337</v>
      </c>
      <c r="M348" s="6">
        <f t="shared" si="103"/>
        <v>13.505050505050505</v>
      </c>
      <c r="N348" s="6">
        <v>3.9049999999999998</v>
      </c>
      <c r="O348" s="5">
        <v>99</v>
      </c>
      <c r="P348"/>
      <c r="Q348" s="5">
        <v>2477</v>
      </c>
      <c r="R348" s="6">
        <f t="shared" si="104"/>
        <v>25.020202020202021</v>
      </c>
      <c r="S348" s="6">
        <v>5.2270000000000003</v>
      </c>
      <c r="T348" s="5">
        <v>99</v>
      </c>
      <c r="U348" s="5">
        <v>386</v>
      </c>
      <c r="V348" s="6">
        <f t="shared" si="105"/>
        <v>3.8989898989898988</v>
      </c>
      <c r="W348" s="6">
        <v>1.946</v>
      </c>
      <c r="X348" s="5">
        <v>99</v>
      </c>
      <c r="Z348" s="6">
        <f t="shared" si="106"/>
        <v>2.6918474195961108</v>
      </c>
      <c r="AA348" s="6">
        <f t="shared" si="107"/>
        <v>6.4170984455958555</v>
      </c>
      <c r="AB348" s="13">
        <f t="shared" si="108"/>
        <v>1.3839012563939035</v>
      </c>
      <c r="AC348" t="s">
        <v>40</v>
      </c>
      <c r="AE348" t="s">
        <v>772</v>
      </c>
      <c r="AF348" s="9">
        <v>0.38680555555555557</v>
      </c>
      <c r="AG348" s="9">
        <v>0.43055555555555558</v>
      </c>
      <c r="AH348" s="9">
        <f t="shared" ref="AH348:AH364" si="109">AG348-AF348</f>
        <v>4.3750000000000011E-2</v>
      </c>
      <c r="AI348" s="9">
        <v>0.38680555555555557</v>
      </c>
      <c r="AJ348" s="9">
        <v>0.51874999999999993</v>
      </c>
      <c r="AK348" s="9">
        <f t="shared" ref="AK348:AK364" si="110">AJ348-AI348</f>
        <v>0.13194444444444436</v>
      </c>
      <c r="AM348" t="b">
        <v>1</v>
      </c>
    </row>
    <row r="349" spans="1:39" x14ac:dyDescent="0.3">
      <c r="A349" s="3">
        <v>2508297</v>
      </c>
      <c r="B349" t="s">
        <v>749</v>
      </c>
      <c r="C349" t="s">
        <v>29</v>
      </c>
      <c r="D349">
        <v>42</v>
      </c>
      <c r="E349" s="1">
        <v>28851</v>
      </c>
      <c r="F349" s="2">
        <v>44473.421840277777</v>
      </c>
      <c r="G349" t="s">
        <v>30</v>
      </c>
      <c r="H349">
        <v>1664</v>
      </c>
      <c r="I349" s="6">
        <f t="shared" si="102"/>
        <v>16.80808080808081</v>
      </c>
      <c r="J349">
        <v>4.6059999999999999</v>
      </c>
      <c r="K349">
        <v>99</v>
      </c>
      <c r="L349" s="5">
        <v>1014</v>
      </c>
      <c r="M349" s="6">
        <f t="shared" si="103"/>
        <v>10.242424242424242</v>
      </c>
      <c r="N349" s="6">
        <v>2.8610000000000002</v>
      </c>
      <c r="O349" s="5">
        <v>99</v>
      </c>
      <c r="P349"/>
      <c r="Q349" s="5">
        <v>988</v>
      </c>
      <c r="R349" s="6">
        <f t="shared" si="104"/>
        <v>9.9797979797979792</v>
      </c>
      <c r="S349" s="6">
        <v>3.3530000000000002</v>
      </c>
      <c r="T349" s="5">
        <v>99</v>
      </c>
      <c r="U349" s="5">
        <v>399</v>
      </c>
      <c r="V349" s="6">
        <f t="shared" si="105"/>
        <v>4.0303030303030303</v>
      </c>
      <c r="W349" s="6">
        <v>2.3010000000000002</v>
      </c>
      <c r="X349" s="5">
        <v>99</v>
      </c>
      <c r="Z349" s="6">
        <f t="shared" si="106"/>
        <v>1.6410256410256412</v>
      </c>
      <c r="AA349" s="6">
        <f t="shared" si="107"/>
        <v>2.4761904761904763</v>
      </c>
      <c r="AB349" s="13">
        <f t="shared" si="108"/>
        <v>0.50892857142857129</v>
      </c>
      <c r="AC349" t="s">
        <v>31</v>
      </c>
      <c r="AE349" t="s">
        <v>771</v>
      </c>
      <c r="AF349" s="9">
        <v>0.38472222222222219</v>
      </c>
      <c r="AG349" s="9">
        <v>0.4236111111111111</v>
      </c>
      <c r="AH349" s="9">
        <f t="shared" si="109"/>
        <v>3.8888888888888917E-2</v>
      </c>
      <c r="AI349" s="9">
        <v>0.38472222222222219</v>
      </c>
      <c r="AJ349" s="9">
        <v>0.52083333333333337</v>
      </c>
      <c r="AK349" s="9">
        <f t="shared" si="110"/>
        <v>0.13611111111111118</v>
      </c>
      <c r="AM349" t="b">
        <v>1</v>
      </c>
    </row>
    <row r="350" spans="1:39" x14ac:dyDescent="0.3">
      <c r="A350" s="3">
        <v>2618799</v>
      </c>
      <c r="B350" t="s">
        <v>750</v>
      </c>
      <c r="C350" t="s">
        <v>29</v>
      </c>
      <c r="D350">
        <v>51</v>
      </c>
      <c r="E350" s="1">
        <v>25630</v>
      </c>
      <c r="F350" s="2">
        <v>44474.43</v>
      </c>
      <c r="G350" t="s">
        <v>30</v>
      </c>
      <c r="H350">
        <v>1833</v>
      </c>
      <c r="I350" s="6">
        <f t="shared" si="102"/>
        <v>18.515151515151516</v>
      </c>
      <c r="J350">
        <v>1.58</v>
      </c>
      <c r="K350">
        <v>99</v>
      </c>
      <c r="L350">
        <v>746</v>
      </c>
      <c r="M350" s="6">
        <f t="shared" si="103"/>
        <v>7.5353535353535355</v>
      </c>
      <c r="N350" s="6">
        <v>0.92900000000000005</v>
      </c>
      <c r="O350" s="5">
        <v>99</v>
      </c>
      <c r="P350"/>
      <c r="Q350" s="5">
        <v>1282</v>
      </c>
      <c r="R350" s="6">
        <f t="shared" si="104"/>
        <v>12.94949494949495</v>
      </c>
      <c r="S350" s="6">
        <v>1.091</v>
      </c>
      <c r="T350" s="5">
        <v>99</v>
      </c>
      <c r="U350" s="5">
        <v>323</v>
      </c>
      <c r="V350" s="6">
        <f t="shared" si="105"/>
        <v>3.2626262626262625</v>
      </c>
      <c r="W350" s="7">
        <v>0.58199999999999996</v>
      </c>
      <c r="X350" s="5">
        <v>99</v>
      </c>
      <c r="Z350" s="6">
        <f t="shared" si="106"/>
        <v>2.4571045576407506</v>
      </c>
      <c r="AA350" s="6">
        <f t="shared" si="107"/>
        <v>3.9690402476780187</v>
      </c>
      <c r="AB350" s="13">
        <f t="shared" si="108"/>
        <v>0.61533225573802619</v>
      </c>
      <c r="AC350" t="s">
        <v>39</v>
      </c>
      <c r="AE350" t="s">
        <v>771</v>
      </c>
      <c r="AF350" s="9">
        <v>0.38472222222222219</v>
      </c>
      <c r="AG350" s="9">
        <v>0.44444444444444442</v>
      </c>
      <c r="AH350" s="9">
        <f t="shared" si="109"/>
        <v>5.9722222222222232E-2</v>
      </c>
      <c r="AI350" s="9">
        <v>0.38472222222222219</v>
      </c>
      <c r="AJ350" s="9">
        <v>0.51736111111111105</v>
      </c>
      <c r="AK350" s="9">
        <f t="shared" si="110"/>
        <v>0.13263888888888886</v>
      </c>
      <c r="AM350" t="b">
        <v>1</v>
      </c>
    </row>
    <row r="351" spans="1:39" x14ac:dyDescent="0.3">
      <c r="A351" s="3">
        <v>7065134</v>
      </c>
      <c r="B351" t="s">
        <v>751</v>
      </c>
      <c r="C351" t="s">
        <v>29</v>
      </c>
      <c r="D351">
        <v>51</v>
      </c>
      <c r="E351" s="1">
        <v>25614</v>
      </c>
      <c r="F351" s="2">
        <v>44476.438819444447</v>
      </c>
      <c r="G351" t="s">
        <v>30</v>
      </c>
      <c r="H351">
        <v>2741</v>
      </c>
      <c r="I351" s="6">
        <f t="shared" si="102"/>
        <v>27.686868686868689</v>
      </c>
      <c r="J351">
        <v>5.7859999999999996</v>
      </c>
      <c r="K351">
        <v>99</v>
      </c>
      <c r="L351" s="5">
        <v>1355</v>
      </c>
      <c r="M351" s="6">
        <f t="shared" si="103"/>
        <v>13.686868686868687</v>
      </c>
      <c r="N351" s="6">
        <v>3.7429999999999999</v>
      </c>
      <c r="O351" s="5">
        <v>99</v>
      </c>
      <c r="P351"/>
      <c r="Q351" s="5">
        <v>2044</v>
      </c>
      <c r="R351" s="6">
        <f t="shared" si="104"/>
        <v>20.646464646464647</v>
      </c>
      <c r="S351" s="6">
        <v>4.4020000000000001</v>
      </c>
      <c r="T351" s="5">
        <v>99</v>
      </c>
      <c r="U351" s="5">
        <v>401</v>
      </c>
      <c r="V351" s="6">
        <f t="shared" si="105"/>
        <v>4.0505050505050502</v>
      </c>
      <c r="W351" s="7">
        <v>2.1920000000000002</v>
      </c>
      <c r="X351" s="5">
        <v>99</v>
      </c>
      <c r="Z351" s="6">
        <f t="shared" si="106"/>
        <v>2.0228782287822877</v>
      </c>
      <c r="AA351" s="6">
        <f t="shared" si="107"/>
        <v>5.0972568578553625</v>
      </c>
      <c r="AB351" s="13">
        <f t="shared" si="108"/>
        <v>1.5198041015665875</v>
      </c>
      <c r="AC351" t="s">
        <v>40</v>
      </c>
      <c r="AE351" t="s">
        <v>771</v>
      </c>
      <c r="AF351" s="9">
        <v>0.40138888888888885</v>
      </c>
      <c r="AG351" s="9">
        <v>0.44444444444444442</v>
      </c>
      <c r="AH351" s="9">
        <f t="shared" si="109"/>
        <v>4.3055555555555569E-2</v>
      </c>
      <c r="AI351" s="9">
        <v>0.40138888888888885</v>
      </c>
      <c r="AJ351" s="9">
        <v>0.54861111111111105</v>
      </c>
      <c r="AK351" s="9">
        <f t="shared" si="110"/>
        <v>0.1472222222222222</v>
      </c>
      <c r="AM351" t="b">
        <v>1</v>
      </c>
    </row>
    <row r="352" spans="1:39" x14ac:dyDescent="0.3">
      <c r="A352" s="3" t="s">
        <v>752</v>
      </c>
      <c r="B352" t="s">
        <v>753</v>
      </c>
      <c r="C352" t="s">
        <v>29</v>
      </c>
      <c r="D352">
        <v>61</v>
      </c>
      <c r="E352" s="1">
        <v>21855</v>
      </c>
      <c r="F352" s="2">
        <v>44476.422523148147</v>
      </c>
      <c r="G352" t="s">
        <v>278</v>
      </c>
      <c r="H352">
        <v>2873</v>
      </c>
      <c r="I352" s="6">
        <f t="shared" si="102"/>
        <v>28.73</v>
      </c>
      <c r="J352">
        <v>5.9640000000000004</v>
      </c>
      <c r="K352">
        <v>100</v>
      </c>
      <c r="L352" s="5">
        <v>1325</v>
      </c>
      <c r="M352" s="6">
        <f t="shared" si="103"/>
        <v>13.25</v>
      </c>
      <c r="N352" s="6">
        <v>3.4649999999999999</v>
      </c>
      <c r="O352" s="5">
        <v>100</v>
      </c>
      <c r="P352"/>
      <c r="Q352" s="5">
        <v>1782</v>
      </c>
      <c r="R352" s="6">
        <f t="shared" si="104"/>
        <v>17.82</v>
      </c>
      <c r="S352" s="6">
        <v>4.3730000000000002</v>
      </c>
      <c r="T352" s="5">
        <v>100</v>
      </c>
      <c r="U352" s="5">
        <v>408</v>
      </c>
      <c r="V352" s="6">
        <f t="shared" si="105"/>
        <v>4.08</v>
      </c>
      <c r="W352" s="7">
        <v>2.145</v>
      </c>
      <c r="X352" s="5">
        <v>100</v>
      </c>
      <c r="Z352" s="6">
        <f t="shared" si="106"/>
        <v>2.1683018867924528</v>
      </c>
      <c r="AA352" s="6">
        <f t="shared" si="107"/>
        <v>4.367647058823529</v>
      </c>
      <c r="AB352" s="13">
        <f t="shared" si="108"/>
        <v>1.0143168649290553</v>
      </c>
      <c r="AC352" t="s">
        <v>31</v>
      </c>
      <c r="AE352" t="s">
        <v>772</v>
      </c>
      <c r="AF352" s="9">
        <v>0.37083333333333335</v>
      </c>
      <c r="AG352" s="9">
        <v>0.4236111111111111</v>
      </c>
      <c r="AH352" s="9">
        <f t="shared" si="109"/>
        <v>5.2777777777777757E-2</v>
      </c>
      <c r="AI352" s="9">
        <v>0.37083333333333335</v>
      </c>
      <c r="AJ352" s="9">
        <v>0.52083333333333337</v>
      </c>
      <c r="AK352" s="9">
        <f t="shared" si="110"/>
        <v>0.15000000000000002</v>
      </c>
      <c r="AM352" t="b">
        <v>1</v>
      </c>
    </row>
    <row r="353" spans="1:39" x14ac:dyDescent="0.3">
      <c r="A353" s="3">
        <v>2751691</v>
      </c>
      <c r="B353" t="s">
        <v>754</v>
      </c>
      <c r="C353" t="s">
        <v>52</v>
      </c>
      <c r="D353">
        <v>55</v>
      </c>
      <c r="E353" s="1">
        <v>24118</v>
      </c>
      <c r="F353" s="2">
        <v>44483.439884259256</v>
      </c>
      <c r="G353" t="s">
        <v>30</v>
      </c>
      <c r="H353">
        <v>1977</v>
      </c>
      <c r="I353" s="6">
        <f t="shared" si="102"/>
        <v>19.969696969696969</v>
      </c>
      <c r="J353">
        <v>4.952</v>
      </c>
      <c r="K353" s="5">
        <v>99</v>
      </c>
      <c r="L353" s="5">
        <v>911</v>
      </c>
      <c r="M353" s="6">
        <f t="shared" si="103"/>
        <v>9.2020202020202024</v>
      </c>
      <c r="N353" s="6">
        <v>3.0939999999999999</v>
      </c>
      <c r="O353" s="5">
        <v>99</v>
      </c>
      <c r="P353"/>
      <c r="Q353" s="5">
        <v>1364</v>
      </c>
      <c r="R353" s="6">
        <f t="shared" si="104"/>
        <v>13.64</v>
      </c>
      <c r="S353" s="6">
        <v>3.8730000000000002</v>
      </c>
      <c r="T353" s="5">
        <v>100</v>
      </c>
      <c r="U353" s="5">
        <v>370</v>
      </c>
      <c r="V353" s="6">
        <f t="shared" si="105"/>
        <v>3.7</v>
      </c>
      <c r="W353" s="6">
        <v>1.925</v>
      </c>
      <c r="X353" s="5">
        <v>100</v>
      </c>
      <c r="Z353" s="6">
        <f t="shared" si="106"/>
        <v>2.1701427003293081</v>
      </c>
      <c r="AA353" s="6">
        <f t="shared" si="107"/>
        <v>3.6864864864864866</v>
      </c>
      <c r="AB353" s="13">
        <f t="shared" si="108"/>
        <v>0.69872998947354059</v>
      </c>
      <c r="AC353" t="s">
        <v>31</v>
      </c>
      <c r="AE353" t="s">
        <v>771</v>
      </c>
      <c r="AF353" s="9">
        <v>0.3979166666666667</v>
      </c>
      <c r="AG353" s="9">
        <v>0.44444444444444442</v>
      </c>
      <c r="AH353" s="9">
        <f t="shared" si="109"/>
        <v>4.6527777777777724E-2</v>
      </c>
      <c r="AI353" s="9">
        <v>0.3979166666666667</v>
      </c>
      <c r="AJ353" s="9">
        <v>0.52083333333333337</v>
      </c>
      <c r="AK353" s="9">
        <f t="shared" si="110"/>
        <v>0.12291666666666667</v>
      </c>
      <c r="AM353" t="b">
        <v>1</v>
      </c>
    </row>
    <row r="354" spans="1:39" x14ac:dyDescent="0.3">
      <c r="A354" s="3">
        <v>2561831</v>
      </c>
      <c r="B354" t="s">
        <v>406</v>
      </c>
      <c r="C354" t="s">
        <v>29</v>
      </c>
      <c r="D354">
        <v>48</v>
      </c>
      <c r="E354" s="1">
        <v>26852</v>
      </c>
      <c r="F354" s="2">
        <v>44484.441458333335</v>
      </c>
      <c r="G354" t="s">
        <v>30</v>
      </c>
      <c r="H354">
        <v>2135</v>
      </c>
      <c r="I354" s="6">
        <f t="shared" si="102"/>
        <v>21.565656565656564</v>
      </c>
      <c r="J354">
        <v>4.6429999999999998</v>
      </c>
      <c r="K354" s="5">
        <v>99</v>
      </c>
      <c r="L354" s="5">
        <v>1149</v>
      </c>
      <c r="M354" s="6">
        <f t="shared" si="103"/>
        <v>11.606060606060606</v>
      </c>
      <c r="N354" s="6">
        <v>3.319</v>
      </c>
      <c r="O354" s="5">
        <v>99</v>
      </c>
      <c r="P354"/>
      <c r="Q354" s="5">
        <v>1305</v>
      </c>
      <c r="R354" s="6">
        <f t="shared" si="104"/>
        <v>13.181818181818182</v>
      </c>
      <c r="S354" s="6">
        <v>4.0289999999999999</v>
      </c>
      <c r="T354" s="5">
        <v>99</v>
      </c>
      <c r="U354" s="5">
        <v>317</v>
      </c>
      <c r="V354" s="6">
        <f t="shared" si="105"/>
        <v>3.202020202020202</v>
      </c>
      <c r="W354" s="6">
        <v>1.8839999999999999</v>
      </c>
      <c r="X354" s="5">
        <v>99</v>
      </c>
      <c r="Z354" s="6">
        <f t="shared" si="106"/>
        <v>1.8581375108790252</v>
      </c>
      <c r="AA354" s="6">
        <f t="shared" si="107"/>
        <v>4.1167192429022084</v>
      </c>
      <c r="AB354" s="13">
        <f t="shared" si="108"/>
        <v>1.2155083888031089</v>
      </c>
      <c r="AC354" t="s">
        <v>31</v>
      </c>
      <c r="AE354" t="s">
        <v>772</v>
      </c>
      <c r="AF354" s="9">
        <v>0.40277777777777773</v>
      </c>
      <c r="AG354" s="9">
        <v>0.44444444444444442</v>
      </c>
      <c r="AH354" s="9">
        <f t="shared" si="109"/>
        <v>4.1666666666666685E-2</v>
      </c>
      <c r="AI354" s="9">
        <v>0.40277777777777773</v>
      </c>
      <c r="AJ354" s="9">
        <v>0.53472222222222221</v>
      </c>
      <c r="AK354" s="9">
        <f t="shared" si="110"/>
        <v>0.13194444444444448</v>
      </c>
      <c r="AM354" t="b">
        <v>1</v>
      </c>
    </row>
    <row r="355" spans="1:39" x14ac:dyDescent="0.3">
      <c r="A355" s="3">
        <v>7154499</v>
      </c>
      <c r="B355" t="s">
        <v>755</v>
      </c>
      <c r="C355" t="s">
        <v>52</v>
      </c>
      <c r="D355">
        <v>72</v>
      </c>
      <c r="E355" s="1">
        <v>17964</v>
      </c>
      <c r="F355" s="2">
        <v>44487.430208333331</v>
      </c>
      <c r="G355" t="s">
        <v>30</v>
      </c>
      <c r="H355">
        <v>1782</v>
      </c>
      <c r="I355" s="6">
        <f t="shared" si="102"/>
        <v>18</v>
      </c>
      <c r="J355">
        <v>1.34</v>
      </c>
      <c r="K355" s="5">
        <v>99</v>
      </c>
      <c r="L355" s="5">
        <v>1136</v>
      </c>
      <c r="M355" s="6">
        <f t="shared" si="103"/>
        <v>11.474747474747474</v>
      </c>
      <c r="N355" s="6">
        <v>1.7749999999999999</v>
      </c>
      <c r="O355" s="5">
        <v>99</v>
      </c>
      <c r="P355"/>
      <c r="Q355" s="5">
        <v>1395</v>
      </c>
      <c r="R355" s="6">
        <f t="shared" si="104"/>
        <v>13.95</v>
      </c>
      <c r="S355" s="6">
        <v>1.167</v>
      </c>
      <c r="T355" s="5">
        <v>100</v>
      </c>
      <c r="U355" s="5">
        <v>597</v>
      </c>
      <c r="V355" s="6">
        <f t="shared" si="105"/>
        <v>5.97</v>
      </c>
      <c r="W355" s="6">
        <v>0.84599999999999997</v>
      </c>
      <c r="X355" s="5">
        <v>100</v>
      </c>
      <c r="Z355" s="6">
        <f t="shared" si="106"/>
        <v>1.568661971830986</v>
      </c>
      <c r="AA355" s="6">
        <f t="shared" si="107"/>
        <v>2.3366834170854269</v>
      </c>
      <c r="AB355" s="13">
        <f t="shared" si="108"/>
        <v>0.48960289663807233</v>
      </c>
      <c r="AC355" t="s">
        <v>53</v>
      </c>
      <c r="AE355" t="s">
        <v>773</v>
      </c>
      <c r="AF355" s="9">
        <v>0.37638888888888888</v>
      </c>
      <c r="AG355" s="9">
        <v>0.4375</v>
      </c>
      <c r="AH355" s="9">
        <f t="shared" si="109"/>
        <v>6.1111111111111116E-2</v>
      </c>
      <c r="AI355" s="9">
        <v>0.37638888888888888</v>
      </c>
      <c r="AJ355" s="9">
        <v>0.52083333333333337</v>
      </c>
      <c r="AK355" s="9">
        <f t="shared" si="110"/>
        <v>0.14444444444444449</v>
      </c>
      <c r="AM355" t="b">
        <v>1</v>
      </c>
    </row>
    <row r="356" spans="1:39" x14ac:dyDescent="0.3">
      <c r="A356" s="3">
        <v>1741053</v>
      </c>
      <c r="B356" t="s">
        <v>756</v>
      </c>
      <c r="C356" t="s">
        <v>29</v>
      </c>
      <c r="D356">
        <v>51</v>
      </c>
      <c r="E356" s="1">
        <v>25726</v>
      </c>
      <c r="F356" s="2">
        <v>44488.43613425926</v>
      </c>
      <c r="G356" t="s">
        <v>30</v>
      </c>
      <c r="H356">
        <v>3031</v>
      </c>
      <c r="I356" s="6">
        <f t="shared" si="102"/>
        <v>30.616161616161616</v>
      </c>
      <c r="J356">
        <v>5.8339999999999996</v>
      </c>
      <c r="K356" s="5">
        <v>99</v>
      </c>
      <c r="L356" s="5">
        <v>979</v>
      </c>
      <c r="M356" s="6">
        <f t="shared" si="103"/>
        <v>9.8888888888888893</v>
      </c>
      <c r="N356" s="6">
        <v>3.76</v>
      </c>
      <c r="O356" s="5">
        <v>99</v>
      </c>
      <c r="P356"/>
      <c r="Q356" s="5">
        <v>2163</v>
      </c>
      <c r="R356" s="6">
        <f t="shared" si="104"/>
        <v>21.63</v>
      </c>
      <c r="S356" s="6">
        <v>5.64</v>
      </c>
      <c r="T356" s="5">
        <v>100</v>
      </c>
      <c r="U356" s="5">
        <v>403</v>
      </c>
      <c r="V356" s="6">
        <f t="shared" si="105"/>
        <v>4.03</v>
      </c>
      <c r="W356" s="7">
        <v>2.0369999999999999</v>
      </c>
      <c r="X356" s="5">
        <v>100</v>
      </c>
      <c r="Z356" s="6">
        <f t="shared" si="106"/>
        <v>3.0960163432073542</v>
      </c>
      <c r="AA356" s="6">
        <f t="shared" si="107"/>
        <v>5.3672456575682377</v>
      </c>
      <c r="AB356" s="13">
        <f t="shared" si="108"/>
        <v>0.73359732720531345</v>
      </c>
      <c r="AC356" t="s">
        <v>40</v>
      </c>
      <c r="AE356" t="s">
        <v>772</v>
      </c>
      <c r="AF356" s="9">
        <v>0.39999999999999997</v>
      </c>
      <c r="AG356" s="9">
        <v>0.44444444444444442</v>
      </c>
      <c r="AH356" s="9">
        <f t="shared" si="109"/>
        <v>4.4444444444444453E-2</v>
      </c>
      <c r="AI356" s="9">
        <v>0.39999999999999997</v>
      </c>
      <c r="AJ356" s="9">
        <v>0.53680555555555554</v>
      </c>
      <c r="AK356" s="9">
        <f t="shared" si="110"/>
        <v>0.13680555555555557</v>
      </c>
      <c r="AM356" t="b">
        <v>1</v>
      </c>
    </row>
    <row r="357" spans="1:39" x14ac:dyDescent="0.3">
      <c r="A357" s="3">
        <v>1004851</v>
      </c>
      <c r="B357" t="s">
        <v>757</v>
      </c>
      <c r="C357" t="s">
        <v>29</v>
      </c>
      <c r="D357">
        <v>48</v>
      </c>
      <c r="E357" s="1">
        <v>26604</v>
      </c>
      <c r="F357" s="2">
        <v>44488.42119212963</v>
      </c>
      <c r="G357" t="s">
        <v>30</v>
      </c>
      <c r="H357">
        <v>2117</v>
      </c>
      <c r="I357" s="6">
        <f t="shared" si="102"/>
        <v>21.383838383838384</v>
      </c>
      <c r="J357">
        <v>4.3209999999999997</v>
      </c>
      <c r="K357" s="5">
        <v>99</v>
      </c>
      <c r="L357" s="5">
        <v>954</v>
      </c>
      <c r="M357" s="6">
        <f t="shared" si="103"/>
        <v>9.6363636363636367</v>
      </c>
      <c r="N357" s="6">
        <v>3.052</v>
      </c>
      <c r="O357" s="5">
        <v>99</v>
      </c>
      <c r="P357"/>
      <c r="Q357" s="5">
        <v>1215</v>
      </c>
      <c r="R357" s="6">
        <f t="shared" si="104"/>
        <v>12.272727272727273</v>
      </c>
      <c r="S357" s="6">
        <v>3.577</v>
      </c>
      <c r="T357" s="5">
        <v>99</v>
      </c>
      <c r="U357" s="5">
        <v>287</v>
      </c>
      <c r="V357" s="6">
        <f t="shared" si="105"/>
        <v>2.8989898989898988</v>
      </c>
      <c r="W357" s="7">
        <v>1.9670000000000001</v>
      </c>
      <c r="X357" s="5">
        <v>99</v>
      </c>
      <c r="Z357" s="6">
        <f t="shared" si="106"/>
        <v>2.2190775681341717</v>
      </c>
      <c r="AA357" s="6">
        <f t="shared" si="107"/>
        <v>4.2334494773519165</v>
      </c>
      <c r="AB357" s="13">
        <f t="shared" si="108"/>
        <v>0.90775191374290443</v>
      </c>
      <c r="AC357" t="s">
        <v>31</v>
      </c>
      <c r="AE357" t="s">
        <v>771</v>
      </c>
      <c r="AF357" s="9">
        <v>0.375</v>
      </c>
      <c r="AG357" s="9">
        <v>0.4236111111111111</v>
      </c>
      <c r="AH357" s="9">
        <f t="shared" si="109"/>
        <v>4.8611111111111105E-2</v>
      </c>
      <c r="AI357" s="9">
        <v>0.375</v>
      </c>
      <c r="AJ357" s="9">
        <v>0.52083333333333337</v>
      </c>
      <c r="AK357" s="9">
        <f t="shared" si="110"/>
        <v>0.14583333333333337</v>
      </c>
      <c r="AM357" t="b">
        <v>1</v>
      </c>
    </row>
    <row r="358" spans="1:39" x14ac:dyDescent="0.3">
      <c r="A358" s="3" t="s">
        <v>758</v>
      </c>
      <c r="B358" t="s">
        <v>759</v>
      </c>
      <c r="C358" t="s">
        <v>29</v>
      </c>
      <c r="D358">
        <v>51</v>
      </c>
      <c r="E358" s="1">
        <v>25600</v>
      </c>
      <c r="F358" s="2">
        <v>44494.440983796296</v>
      </c>
      <c r="G358" t="s">
        <v>30</v>
      </c>
      <c r="H358">
        <v>2177</v>
      </c>
      <c r="I358" s="6">
        <f t="shared" si="102"/>
        <v>21.98989898989899</v>
      </c>
      <c r="J358">
        <v>4.5229999999999997</v>
      </c>
      <c r="K358">
        <v>99</v>
      </c>
      <c r="L358" s="5">
        <v>815</v>
      </c>
      <c r="M358" s="6">
        <f t="shared" si="103"/>
        <v>8.2323232323232318</v>
      </c>
      <c r="N358" s="6">
        <v>2.839</v>
      </c>
      <c r="O358" s="5">
        <v>99</v>
      </c>
      <c r="P358"/>
      <c r="Q358" s="5">
        <v>1664</v>
      </c>
      <c r="R358" s="6">
        <f t="shared" si="104"/>
        <v>16.80808080808081</v>
      </c>
      <c r="S358" s="6">
        <v>4.9749999999999996</v>
      </c>
      <c r="T358" s="5">
        <v>99</v>
      </c>
      <c r="U358" s="5">
        <v>353</v>
      </c>
      <c r="V358" s="6">
        <f t="shared" si="105"/>
        <v>3.5656565656565657</v>
      </c>
      <c r="W358" s="6">
        <v>1.7090000000000001</v>
      </c>
      <c r="X358" s="5">
        <v>99</v>
      </c>
      <c r="Z358" s="6">
        <f t="shared" si="106"/>
        <v>2.6711656441717793</v>
      </c>
      <c r="AA358" s="6">
        <f t="shared" si="107"/>
        <v>4.7138810198300289</v>
      </c>
      <c r="AB358" s="13">
        <f t="shared" si="108"/>
        <v>0.7647280804600245</v>
      </c>
      <c r="AC358" t="s">
        <v>31</v>
      </c>
      <c r="AE358" t="s">
        <v>771</v>
      </c>
      <c r="AF358" s="9">
        <v>0.37847222222222227</v>
      </c>
      <c r="AG358" s="9">
        <v>0.44444444444444442</v>
      </c>
      <c r="AH358" s="9">
        <f t="shared" si="109"/>
        <v>6.5972222222222154E-2</v>
      </c>
      <c r="AI358" s="9">
        <v>0.37847222222222227</v>
      </c>
      <c r="AJ358" s="9">
        <v>0.52083333333333337</v>
      </c>
      <c r="AK358" s="9">
        <f t="shared" si="110"/>
        <v>0.1423611111111111</v>
      </c>
      <c r="AM358" t="b">
        <v>1</v>
      </c>
    </row>
    <row r="359" spans="1:39" x14ac:dyDescent="0.3">
      <c r="A359" s="3">
        <v>1802316</v>
      </c>
      <c r="B359" t="s">
        <v>760</v>
      </c>
      <c r="C359" t="s">
        <v>52</v>
      </c>
      <c r="D359">
        <v>52</v>
      </c>
      <c r="E359" s="1">
        <v>25185</v>
      </c>
      <c r="F359" s="2">
        <v>44494.430011574077</v>
      </c>
      <c r="G359" t="s">
        <v>30</v>
      </c>
      <c r="H359">
        <v>2289</v>
      </c>
      <c r="I359" s="6">
        <f t="shared" si="102"/>
        <v>23.121212121212121</v>
      </c>
      <c r="J359">
        <v>4.8890000000000002</v>
      </c>
      <c r="K359">
        <v>99</v>
      </c>
      <c r="L359" s="5">
        <v>1220</v>
      </c>
      <c r="M359" s="6">
        <f t="shared" si="103"/>
        <v>12.323232323232324</v>
      </c>
      <c r="N359" s="6">
        <v>4.33</v>
      </c>
      <c r="O359" s="5">
        <v>99</v>
      </c>
      <c r="P359"/>
      <c r="Q359" s="5">
        <v>1593</v>
      </c>
      <c r="R359" s="6">
        <f t="shared" si="104"/>
        <v>16.09090909090909</v>
      </c>
      <c r="S359" s="6">
        <v>4.0410000000000004</v>
      </c>
      <c r="T359" s="5">
        <v>99</v>
      </c>
      <c r="U359" s="5">
        <v>405</v>
      </c>
      <c r="V359" s="6">
        <f t="shared" si="105"/>
        <v>4.0909090909090908</v>
      </c>
      <c r="W359" s="6">
        <v>1.9750000000000001</v>
      </c>
      <c r="X359" s="5">
        <v>99</v>
      </c>
      <c r="Z359" s="6">
        <f t="shared" si="106"/>
        <v>1.8762295081967213</v>
      </c>
      <c r="AA359" s="6">
        <f t="shared" si="107"/>
        <v>3.9333333333333331</v>
      </c>
      <c r="AB359" s="13">
        <f t="shared" si="108"/>
        <v>1.0964030872287753</v>
      </c>
      <c r="AC359" t="s">
        <v>40</v>
      </c>
      <c r="AE359" t="s">
        <v>772</v>
      </c>
      <c r="AF359" s="9">
        <v>0.37708333333333338</v>
      </c>
      <c r="AG359" s="9">
        <v>0.43055555555555558</v>
      </c>
      <c r="AH359" s="9">
        <f t="shared" si="109"/>
        <v>5.3472222222222199E-2</v>
      </c>
      <c r="AI359" s="9">
        <v>0.37708333333333338</v>
      </c>
      <c r="AJ359" s="9">
        <v>0.52083333333333337</v>
      </c>
      <c r="AK359" s="9">
        <f t="shared" si="110"/>
        <v>0.14374999999999999</v>
      </c>
      <c r="AM359" t="b">
        <v>1</v>
      </c>
    </row>
    <row r="360" spans="1:39" x14ac:dyDescent="0.3">
      <c r="A360" s="3" t="s">
        <v>761</v>
      </c>
      <c r="B360" t="s">
        <v>762</v>
      </c>
      <c r="C360" t="s">
        <v>29</v>
      </c>
      <c r="D360">
        <v>62</v>
      </c>
      <c r="E360" s="1">
        <v>21843</v>
      </c>
      <c r="F360" s="2">
        <v>44495.438645833332</v>
      </c>
      <c r="G360" t="s">
        <v>30</v>
      </c>
      <c r="H360">
        <v>2626</v>
      </c>
      <c r="I360" s="6">
        <f t="shared" si="102"/>
        <v>26.525252525252526</v>
      </c>
      <c r="J360">
        <v>4.8330000000000002</v>
      </c>
      <c r="K360">
        <v>99</v>
      </c>
      <c r="L360" s="5">
        <v>1021</v>
      </c>
      <c r="M360" s="6">
        <f t="shared" si="103"/>
        <v>10.313131313131313</v>
      </c>
      <c r="N360" s="6">
        <v>3.1739999999999999</v>
      </c>
      <c r="O360" s="5">
        <v>99</v>
      </c>
      <c r="P360"/>
      <c r="Q360" s="5">
        <v>1869</v>
      </c>
      <c r="R360" s="6">
        <f t="shared" si="104"/>
        <v>18.878787878787879</v>
      </c>
      <c r="S360" s="6">
        <v>5.2590000000000003</v>
      </c>
      <c r="T360" s="5">
        <v>99</v>
      </c>
      <c r="U360" s="5">
        <v>362</v>
      </c>
      <c r="V360" s="6">
        <f t="shared" si="105"/>
        <v>3.6565656565656566</v>
      </c>
      <c r="W360" s="6">
        <v>1.83</v>
      </c>
      <c r="X360" s="5">
        <v>99</v>
      </c>
      <c r="Z360" s="6">
        <f t="shared" si="106"/>
        <v>2.5719882468168462</v>
      </c>
      <c r="AA360" s="6">
        <f t="shared" si="107"/>
        <v>5.1629834254143647</v>
      </c>
      <c r="AB360" s="13">
        <f t="shared" si="108"/>
        <v>1.0073899761416856</v>
      </c>
      <c r="AC360" t="s">
        <v>31</v>
      </c>
      <c r="AE360" t="s">
        <v>771</v>
      </c>
      <c r="AF360" s="9">
        <v>0.38263888888888892</v>
      </c>
      <c r="AG360" s="9">
        <v>0.44444444444444442</v>
      </c>
      <c r="AH360" s="9">
        <f t="shared" si="109"/>
        <v>6.1805555555555503E-2</v>
      </c>
      <c r="AI360" s="9">
        <v>0.38263888888888892</v>
      </c>
      <c r="AJ360" s="9">
        <v>0.53472222222222221</v>
      </c>
      <c r="AK360" s="9">
        <f t="shared" si="110"/>
        <v>0.15208333333333329</v>
      </c>
      <c r="AM360" t="b">
        <v>1</v>
      </c>
    </row>
    <row r="361" spans="1:39" x14ac:dyDescent="0.3">
      <c r="A361" s="3" t="s">
        <v>763</v>
      </c>
      <c r="B361" t="s">
        <v>764</v>
      </c>
      <c r="C361" t="s">
        <v>29</v>
      </c>
      <c r="D361">
        <v>46</v>
      </c>
      <c r="E361" s="1">
        <v>27560</v>
      </c>
      <c r="F361" s="2">
        <v>44495.434907407405</v>
      </c>
      <c r="G361" t="s">
        <v>30</v>
      </c>
      <c r="H361">
        <v>2143</v>
      </c>
      <c r="I361" s="6">
        <f t="shared" si="102"/>
        <v>21.43</v>
      </c>
      <c r="J361">
        <v>4.5579999999999998</v>
      </c>
      <c r="K361">
        <v>100</v>
      </c>
      <c r="L361">
        <v>1096</v>
      </c>
      <c r="M361" s="6">
        <f t="shared" si="103"/>
        <v>10.96</v>
      </c>
      <c r="N361" s="6">
        <v>3.5449999999999999</v>
      </c>
      <c r="O361" s="5">
        <v>100</v>
      </c>
      <c r="P361"/>
      <c r="Q361" s="5">
        <v>1171</v>
      </c>
      <c r="R361" s="6">
        <f t="shared" si="104"/>
        <v>11.71</v>
      </c>
      <c r="S361" s="6">
        <v>3.633</v>
      </c>
      <c r="T361" s="5">
        <v>100</v>
      </c>
      <c r="U361" s="5">
        <v>283</v>
      </c>
      <c r="V361" s="6">
        <f t="shared" si="105"/>
        <v>2.83</v>
      </c>
      <c r="W361" s="6">
        <v>1.7929999999999999</v>
      </c>
      <c r="X361" s="5">
        <v>100</v>
      </c>
      <c r="Z361" s="6">
        <f t="shared" si="106"/>
        <v>1.9552919708029195</v>
      </c>
      <c r="AA361" s="6">
        <f t="shared" si="107"/>
        <v>4.137809187279152</v>
      </c>
      <c r="AB361" s="13">
        <f t="shared" si="108"/>
        <v>1.1162103916276018</v>
      </c>
      <c r="AC361" t="s">
        <v>40</v>
      </c>
      <c r="AE361" t="s">
        <v>771</v>
      </c>
      <c r="AF361" s="9">
        <v>0.39444444444444443</v>
      </c>
      <c r="AG361" s="9">
        <v>0.4375</v>
      </c>
      <c r="AH361" s="9">
        <f t="shared" si="109"/>
        <v>4.3055555555555569E-2</v>
      </c>
      <c r="AI361" s="9">
        <v>0.39444444444444443</v>
      </c>
      <c r="AJ361" s="9">
        <v>0.54583333333333328</v>
      </c>
      <c r="AK361" s="9">
        <f t="shared" si="110"/>
        <v>0.15138888888888885</v>
      </c>
      <c r="AM361" t="b">
        <v>1</v>
      </c>
    </row>
    <row r="362" spans="1:39" x14ac:dyDescent="0.3">
      <c r="A362" s="3" t="s">
        <v>765</v>
      </c>
      <c r="B362" t="s">
        <v>766</v>
      </c>
      <c r="C362" t="s">
        <v>29</v>
      </c>
      <c r="D362">
        <v>52</v>
      </c>
      <c r="E362" s="1">
        <v>25356</v>
      </c>
      <c r="F362" s="2">
        <v>44496.443171296298</v>
      </c>
      <c r="G362" t="s">
        <v>30</v>
      </c>
      <c r="H362">
        <v>3299</v>
      </c>
      <c r="I362" s="6">
        <f t="shared" si="102"/>
        <v>32.99</v>
      </c>
      <c r="J362">
        <v>5.9039999999999999</v>
      </c>
      <c r="K362">
        <v>100</v>
      </c>
      <c r="L362" s="5">
        <v>737</v>
      </c>
      <c r="M362" s="6">
        <f t="shared" si="103"/>
        <v>7.37</v>
      </c>
      <c r="N362" s="6">
        <v>3.218</v>
      </c>
      <c r="O362" s="5">
        <v>100</v>
      </c>
      <c r="P362"/>
      <c r="Q362" s="5">
        <v>2370</v>
      </c>
      <c r="R362" s="6">
        <f t="shared" si="104"/>
        <v>23.939393939393938</v>
      </c>
      <c r="S362" s="6">
        <v>4.22</v>
      </c>
      <c r="T362" s="5">
        <v>99</v>
      </c>
      <c r="U362" s="5">
        <v>238</v>
      </c>
      <c r="V362" s="6">
        <f t="shared" si="105"/>
        <v>2.404040404040404</v>
      </c>
      <c r="W362" s="6">
        <v>1.456</v>
      </c>
      <c r="X362" s="5">
        <v>99</v>
      </c>
      <c r="Z362" s="6">
        <f t="shared" si="106"/>
        <v>4.4762550881953871</v>
      </c>
      <c r="AA362" s="6">
        <f t="shared" si="107"/>
        <v>9.9579831932773111</v>
      </c>
      <c r="AB362" s="13">
        <f t="shared" si="108"/>
        <v>1.2246237082283655</v>
      </c>
      <c r="AC362" t="s">
        <v>39</v>
      </c>
      <c r="AE362" t="s">
        <v>771</v>
      </c>
      <c r="AF362" s="9">
        <v>0.38263888888888892</v>
      </c>
      <c r="AG362" s="9">
        <v>0.44444444444444442</v>
      </c>
      <c r="AH362" s="9">
        <f t="shared" si="109"/>
        <v>6.1805555555555503E-2</v>
      </c>
      <c r="AI362" s="9">
        <v>0.38263888888888892</v>
      </c>
      <c r="AJ362" s="9">
        <v>0.52083333333333337</v>
      </c>
      <c r="AK362" s="9">
        <f t="shared" si="110"/>
        <v>0.13819444444444445</v>
      </c>
      <c r="AM362" t="b">
        <v>1</v>
      </c>
    </row>
    <row r="363" spans="1:39" x14ac:dyDescent="0.3">
      <c r="A363" s="3" t="s">
        <v>767</v>
      </c>
      <c r="B363" t="s">
        <v>768</v>
      </c>
      <c r="C363" t="s">
        <v>29</v>
      </c>
      <c r="D363">
        <v>43</v>
      </c>
      <c r="E363" s="1">
        <v>28543</v>
      </c>
      <c r="F363" s="2">
        <v>44498.438888888886</v>
      </c>
      <c r="G363" t="s">
        <v>30</v>
      </c>
      <c r="H363" s="5">
        <v>1587</v>
      </c>
      <c r="I363" s="6">
        <f t="shared" si="102"/>
        <v>16.030303030303031</v>
      </c>
      <c r="J363" s="6">
        <v>4.4729999999999999</v>
      </c>
      <c r="K363" s="5">
        <v>99</v>
      </c>
      <c r="L363" s="5">
        <v>1040</v>
      </c>
      <c r="M363" s="6">
        <f t="shared" si="103"/>
        <v>10.505050505050505</v>
      </c>
      <c r="N363" s="6">
        <v>3.3050000000000002</v>
      </c>
      <c r="O363" s="5">
        <v>99</v>
      </c>
      <c r="P363"/>
      <c r="Q363" s="5">
        <v>861</v>
      </c>
      <c r="R363" s="6">
        <f t="shared" si="104"/>
        <v>8.6969696969696972</v>
      </c>
      <c r="S363" s="6">
        <v>3.0249999999999999</v>
      </c>
      <c r="T363" s="5">
        <v>99</v>
      </c>
      <c r="U363" s="5">
        <v>375</v>
      </c>
      <c r="V363" s="6">
        <f t="shared" si="105"/>
        <v>3.7878787878787881</v>
      </c>
      <c r="W363" s="6">
        <v>1.792</v>
      </c>
      <c r="X363" s="5">
        <v>99</v>
      </c>
      <c r="Z363" s="6">
        <f t="shared" si="106"/>
        <v>1.5259615384615386</v>
      </c>
      <c r="AA363" s="6">
        <f t="shared" si="107"/>
        <v>2.2959999999999998</v>
      </c>
      <c r="AB363" s="13">
        <f t="shared" si="108"/>
        <v>0.5046250787649651</v>
      </c>
      <c r="AC363" t="s">
        <v>31</v>
      </c>
      <c r="AE363" t="s">
        <v>771</v>
      </c>
      <c r="AF363" s="9">
        <v>0.3888888888888889</v>
      </c>
      <c r="AG363" s="9">
        <v>0.44444444444444442</v>
      </c>
      <c r="AH363" s="9">
        <f t="shared" si="109"/>
        <v>5.5555555555555525E-2</v>
      </c>
      <c r="AI363" s="9">
        <v>0.3888888888888889</v>
      </c>
      <c r="AJ363" s="9">
        <v>0.53472222222222221</v>
      </c>
      <c r="AK363" s="9">
        <f t="shared" si="110"/>
        <v>0.14583333333333331</v>
      </c>
      <c r="AM363" t="b">
        <v>1</v>
      </c>
    </row>
    <row r="364" spans="1:39" x14ac:dyDescent="0.3">
      <c r="A364" s="3" t="s">
        <v>769</v>
      </c>
      <c r="B364" t="s">
        <v>770</v>
      </c>
      <c r="C364" t="s">
        <v>29</v>
      </c>
      <c r="D364">
        <v>56</v>
      </c>
      <c r="E364" s="1">
        <v>23938</v>
      </c>
      <c r="F364" s="2">
        <v>44498.432638888888</v>
      </c>
      <c r="G364" t="s">
        <v>30</v>
      </c>
      <c r="H364" s="5">
        <v>3156</v>
      </c>
      <c r="I364" s="6">
        <f t="shared" si="102"/>
        <v>31.878787878787879</v>
      </c>
      <c r="J364" s="6">
        <v>5.98</v>
      </c>
      <c r="K364" s="5">
        <v>99</v>
      </c>
      <c r="L364" s="5">
        <v>1128</v>
      </c>
      <c r="M364" s="6">
        <f t="shared" si="103"/>
        <v>11.393939393939394</v>
      </c>
      <c r="N364" s="6">
        <v>3.27</v>
      </c>
      <c r="O364" s="5">
        <v>99</v>
      </c>
      <c r="P364"/>
      <c r="Q364" s="5">
        <v>2094</v>
      </c>
      <c r="R364" s="6">
        <f t="shared" si="104"/>
        <v>21.151515151515152</v>
      </c>
      <c r="S364" s="6">
        <v>4.7670000000000003</v>
      </c>
      <c r="T364" s="5">
        <v>99</v>
      </c>
      <c r="U364" s="5">
        <v>488</v>
      </c>
      <c r="V364" s="6">
        <f t="shared" si="105"/>
        <v>4.9292929292929291</v>
      </c>
      <c r="W364" s="6">
        <v>2.282</v>
      </c>
      <c r="X364" s="5">
        <v>99</v>
      </c>
      <c r="Z364" s="6">
        <f t="shared" si="106"/>
        <v>2.7978723404255317</v>
      </c>
      <c r="AA364" s="6">
        <f t="shared" si="107"/>
        <v>4.2909836065573774</v>
      </c>
      <c r="AB364" s="13">
        <f t="shared" si="108"/>
        <v>0.53365953998628712</v>
      </c>
      <c r="AC364" t="s">
        <v>40</v>
      </c>
      <c r="AE364" t="s">
        <v>771</v>
      </c>
      <c r="AF364" s="9">
        <v>0.39513888888888887</v>
      </c>
      <c r="AG364" s="9">
        <v>0.44444444444444442</v>
      </c>
      <c r="AH364" s="9">
        <f t="shared" si="109"/>
        <v>4.9305555555555547E-2</v>
      </c>
      <c r="AI364" s="9">
        <v>0.39513888888888887</v>
      </c>
      <c r="AJ364" s="9">
        <v>0.53333333333333333</v>
      </c>
      <c r="AK364" s="9">
        <f t="shared" si="110"/>
        <v>0.13819444444444445</v>
      </c>
      <c r="AM364" t="b">
        <v>1</v>
      </c>
    </row>
    <row r="365" spans="1:39" x14ac:dyDescent="0.3">
      <c r="A365" s="3">
        <v>1907964</v>
      </c>
      <c r="B365" t="s">
        <v>774</v>
      </c>
      <c r="C365" t="s">
        <v>52</v>
      </c>
      <c r="D365">
        <v>59</v>
      </c>
      <c r="E365" s="1">
        <v>22817</v>
      </c>
      <c r="F365" s="2">
        <v>44501.430497685185</v>
      </c>
      <c r="G365" t="s">
        <v>30</v>
      </c>
      <c r="H365">
        <v>2667</v>
      </c>
      <c r="I365" s="6">
        <f t="shared" si="102"/>
        <v>26.67</v>
      </c>
      <c r="J365" s="6">
        <v>1.694</v>
      </c>
      <c r="K365" s="5">
        <v>100</v>
      </c>
      <c r="L365" s="5">
        <v>1404</v>
      </c>
      <c r="M365" s="6">
        <f t="shared" si="103"/>
        <v>14.04</v>
      </c>
      <c r="N365" s="6">
        <v>1.47</v>
      </c>
      <c r="O365" s="5">
        <v>100</v>
      </c>
      <c r="P365"/>
      <c r="Q365" s="5">
        <v>1930</v>
      </c>
      <c r="R365" s="6">
        <f t="shared" si="104"/>
        <v>19.494949494949495</v>
      </c>
      <c r="S365" s="6">
        <v>1.2809999999999999</v>
      </c>
      <c r="T365" s="5">
        <v>99</v>
      </c>
      <c r="U365" s="5">
        <v>511</v>
      </c>
      <c r="V365" s="6">
        <f t="shared" si="105"/>
        <v>5.1616161616161618</v>
      </c>
      <c r="W365" s="6">
        <v>1.0569999999999999</v>
      </c>
      <c r="X365" s="5">
        <v>99</v>
      </c>
      <c r="Z365" s="6">
        <f t="shared" si="106"/>
        <v>1.8995726495726497</v>
      </c>
      <c r="AA365" s="6">
        <f t="shared" si="107"/>
        <v>3.7769080234833656</v>
      </c>
      <c r="AB365" s="13">
        <f t="shared" ref="AB365:AB382" si="111">(AA365-Z365)/Z365</f>
        <v>0.98829353767178285</v>
      </c>
      <c r="AC365" t="s">
        <v>39</v>
      </c>
      <c r="AE365" t="s">
        <v>796</v>
      </c>
      <c r="AF365" s="9">
        <v>0.38055555555555554</v>
      </c>
      <c r="AG365" s="9">
        <v>0.43402777777777773</v>
      </c>
      <c r="AH365" s="9">
        <f>AG365-AF365</f>
        <v>5.3472222222222199E-2</v>
      </c>
      <c r="AI365" s="9">
        <v>0.38055555555555554</v>
      </c>
      <c r="AJ365" s="9">
        <v>0.52083333333333337</v>
      </c>
      <c r="AK365" s="9">
        <f>AJ365-AI365</f>
        <v>0.14027777777777783</v>
      </c>
      <c r="AM365" t="b">
        <v>1</v>
      </c>
    </row>
    <row r="366" spans="1:39" x14ac:dyDescent="0.3">
      <c r="A366" s="3">
        <v>2653570</v>
      </c>
      <c r="B366" t="s">
        <v>775</v>
      </c>
      <c r="C366" t="s">
        <v>29</v>
      </c>
      <c r="D366">
        <v>54</v>
      </c>
      <c r="E366" s="1">
        <v>24507</v>
      </c>
      <c r="F366" s="2">
        <v>44502.440451388888</v>
      </c>
      <c r="G366" t="s">
        <v>30</v>
      </c>
      <c r="H366">
        <v>2041</v>
      </c>
      <c r="I366" s="6">
        <f t="shared" si="102"/>
        <v>20.41</v>
      </c>
      <c r="J366">
        <v>4.49</v>
      </c>
      <c r="K366" s="5">
        <v>100</v>
      </c>
      <c r="L366" s="5">
        <v>860</v>
      </c>
      <c r="M366" s="6">
        <f t="shared" si="103"/>
        <v>8.6</v>
      </c>
      <c r="N366" s="6">
        <v>2.9340000000000002</v>
      </c>
      <c r="O366" s="5">
        <v>100</v>
      </c>
      <c r="P366"/>
      <c r="Q366" s="5">
        <v>1531</v>
      </c>
      <c r="R366" s="6">
        <f t="shared" si="104"/>
        <v>15.464646464646465</v>
      </c>
      <c r="S366" s="6">
        <v>4.0030000000000001</v>
      </c>
      <c r="T366" s="5">
        <v>99</v>
      </c>
      <c r="U366" s="5">
        <v>340</v>
      </c>
      <c r="V366" s="6">
        <f t="shared" si="105"/>
        <v>3.4343434343434343</v>
      </c>
      <c r="W366" s="6">
        <v>1.8740000000000001</v>
      </c>
      <c r="X366" s="5">
        <v>99</v>
      </c>
      <c r="Z366" s="6">
        <f t="shared" si="106"/>
        <v>2.3732558139534885</v>
      </c>
      <c r="AA366" s="6">
        <f t="shared" si="107"/>
        <v>4.5029411764705882</v>
      </c>
      <c r="AB366" s="13">
        <f t="shared" si="111"/>
        <v>0.89736864858633303</v>
      </c>
      <c r="AC366" t="s">
        <v>31</v>
      </c>
      <c r="AE366" t="s">
        <v>796</v>
      </c>
      <c r="AF366" s="9">
        <v>0.37916666666666665</v>
      </c>
      <c r="AG366" s="9">
        <v>0.44444444444444442</v>
      </c>
      <c r="AH366" s="9">
        <f t="shared" ref="AH366:AH382" si="112">AG366-AF366</f>
        <v>6.5277777777777768E-2</v>
      </c>
      <c r="AI366" s="9">
        <v>0.37916666666666665</v>
      </c>
      <c r="AJ366" s="9">
        <v>0.52083333333333337</v>
      </c>
      <c r="AK366" s="9">
        <f t="shared" ref="AK366:AK382" si="113">AJ366-AI366</f>
        <v>0.14166666666666672</v>
      </c>
      <c r="AM366" t="b">
        <v>1</v>
      </c>
    </row>
    <row r="367" spans="1:39" x14ac:dyDescent="0.3">
      <c r="A367" s="3">
        <v>2681426</v>
      </c>
      <c r="B367" t="s">
        <v>776</v>
      </c>
      <c r="C367" t="s">
        <v>29</v>
      </c>
      <c r="D367">
        <v>38</v>
      </c>
      <c r="E367" s="1">
        <v>30609</v>
      </c>
      <c r="F367" s="2">
        <v>44502.422500000001</v>
      </c>
      <c r="G367" t="s">
        <v>30</v>
      </c>
      <c r="H367">
        <v>1991</v>
      </c>
      <c r="I367" s="6">
        <f t="shared" si="102"/>
        <v>19.91</v>
      </c>
      <c r="J367">
        <v>5.0590000000000002</v>
      </c>
      <c r="K367" s="5">
        <v>100</v>
      </c>
      <c r="L367" s="5">
        <v>1166</v>
      </c>
      <c r="M367" s="6">
        <f t="shared" si="103"/>
        <v>11.66</v>
      </c>
      <c r="N367" s="6">
        <v>3.4529999999999998</v>
      </c>
      <c r="O367" s="5">
        <v>100</v>
      </c>
      <c r="P367"/>
      <c r="Q367" s="5">
        <v>1194</v>
      </c>
      <c r="R367" s="6">
        <f t="shared" si="104"/>
        <v>11.94</v>
      </c>
      <c r="S367" s="6">
        <v>3.7629999999999999</v>
      </c>
      <c r="T367" s="5">
        <v>100</v>
      </c>
      <c r="U367" s="5">
        <v>564</v>
      </c>
      <c r="V367" s="6">
        <f t="shared" si="105"/>
        <v>5.64</v>
      </c>
      <c r="W367" s="6">
        <v>2.3969999999999998</v>
      </c>
      <c r="X367" s="5">
        <v>100</v>
      </c>
      <c r="Z367" s="6">
        <f t="shared" si="106"/>
        <v>1.7075471698113207</v>
      </c>
      <c r="AA367" s="6">
        <f t="shared" si="107"/>
        <v>2.1170212765957448</v>
      </c>
      <c r="AB367" s="13">
        <f t="shared" si="111"/>
        <v>0.23980251557540858</v>
      </c>
      <c r="AC367" t="s">
        <v>40</v>
      </c>
      <c r="AE367" t="s">
        <v>796</v>
      </c>
      <c r="AF367" s="9">
        <v>0.38750000000000001</v>
      </c>
      <c r="AG367" s="9">
        <v>0.44444444444444442</v>
      </c>
      <c r="AH367" s="9">
        <f t="shared" si="112"/>
        <v>5.6944444444444409E-2</v>
      </c>
      <c r="AI367" s="9">
        <v>0.38750000000000001</v>
      </c>
      <c r="AJ367" s="9">
        <v>0.51874999999999993</v>
      </c>
      <c r="AK367" s="9">
        <f t="shared" si="113"/>
        <v>0.13124999999999992</v>
      </c>
      <c r="AM367" t="b">
        <v>1</v>
      </c>
    </row>
    <row r="368" spans="1:39" x14ac:dyDescent="0.3">
      <c r="A368" s="3">
        <v>2632117</v>
      </c>
      <c r="B368" t="s">
        <v>777</v>
      </c>
      <c r="C368" t="s">
        <v>29</v>
      </c>
      <c r="D368">
        <v>40</v>
      </c>
      <c r="E368" s="1">
        <v>29625</v>
      </c>
      <c r="F368" s="2">
        <v>44505.434340277781</v>
      </c>
      <c r="G368" t="s">
        <v>30</v>
      </c>
      <c r="H368">
        <v>1992</v>
      </c>
      <c r="I368" s="6">
        <f t="shared" si="102"/>
        <v>20.121212121212121</v>
      </c>
      <c r="J368">
        <v>4.5199999999999996</v>
      </c>
      <c r="K368">
        <v>99</v>
      </c>
      <c r="L368" s="5">
        <v>919</v>
      </c>
      <c r="M368" s="6">
        <f t="shared" si="103"/>
        <v>9.282828282828282</v>
      </c>
      <c r="N368" s="6">
        <v>3.5339999999999998</v>
      </c>
      <c r="O368" s="5">
        <v>99</v>
      </c>
      <c r="P368"/>
      <c r="Q368" s="5">
        <v>1501</v>
      </c>
      <c r="R368" s="6">
        <f t="shared" si="104"/>
        <v>15.01</v>
      </c>
      <c r="S368" s="6">
        <v>4.5629999999999997</v>
      </c>
      <c r="T368" s="5">
        <v>100</v>
      </c>
      <c r="U368" s="5">
        <v>445</v>
      </c>
      <c r="V368" s="6">
        <f t="shared" si="105"/>
        <v>4.45</v>
      </c>
      <c r="W368" s="7">
        <v>2.2309999999999999</v>
      </c>
      <c r="X368" s="5">
        <v>100</v>
      </c>
      <c r="Z368" s="6">
        <f t="shared" si="106"/>
        <v>2.1675734494015235</v>
      </c>
      <c r="AA368" s="6">
        <f t="shared" si="107"/>
        <v>3.3730337078651682</v>
      </c>
      <c r="AB368" s="13">
        <f t="shared" si="111"/>
        <v>0.55613352285546658</v>
      </c>
      <c r="AC368" t="s">
        <v>40</v>
      </c>
      <c r="AE368" t="s">
        <v>796</v>
      </c>
      <c r="AF368" s="9">
        <v>0.38472222222222219</v>
      </c>
      <c r="AG368" s="9">
        <v>0.44444444444444442</v>
      </c>
      <c r="AH368" s="9">
        <f t="shared" si="112"/>
        <v>5.9722222222222232E-2</v>
      </c>
      <c r="AI368" s="9">
        <v>0.38472222222222219</v>
      </c>
      <c r="AJ368" s="9">
        <v>0.52083333333333337</v>
      </c>
      <c r="AK368" s="9">
        <f t="shared" si="113"/>
        <v>0.13611111111111118</v>
      </c>
      <c r="AM368" t="b">
        <v>1</v>
      </c>
    </row>
    <row r="369" spans="1:39" x14ac:dyDescent="0.3">
      <c r="A369" s="3" t="s">
        <v>778</v>
      </c>
      <c r="B369" t="s">
        <v>779</v>
      </c>
      <c r="C369" t="s">
        <v>29</v>
      </c>
      <c r="D369">
        <v>53</v>
      </c>
      <c r="E369" s="1">
        <v>25002</v>
      </c>
      <c r="F369" s="2">
        <v>44505.432141203702</v>
      </c>
      <c r="G369" t="s">
        <v>30</v>
      </c>
      <c r="H369">
        <v>1537</v>
      </c>
      <c r="I369" s="6">
        <f t="shared" si="102"/>
        <v>15.37</v>
      </c>
      <c r="J369">
        <v>1.6859999999999999</v>
      </c>
      <c r="K369">
        <v>100</v>
      </c>
      <c r="L369" s="5">
        <v>637</v>
      </c>
      <c r="M369" s="6">
        <f t="shared" si="103"/>
        <v>6.37</v>
      </c>
      <c r="N369" s="6">
        <v>0.76100000000000001</v>
      </c>
      <c r="O369" s="5">
        <v>100</v>
      </c>
      <c r="P369"/>
      <c r="Q369" s="5">
        <v>1111</v>
      </c>
      <c r="R369" s="6">
        <f t="shared" si="104"/>
        <v>11.222222222222221</v>
      </c>
      <c r="S369" s="6">
        <v>1.2</v>
      </c>
      <c r="T369" s="5">
        <v>99</v>
      </c>
      <c r="U369" s="5">
        <v>292</v>
      </c>
      <c r="V369" s="6">
        <f t="shared" si="105"/>
        <v>2.9494949494949494</v>
      </c>
      <c r="W369" s="7">
        <v>0.48199999999999998</v>
      </c>
      <c r="X369" s="5">
        <v>99</v>
      </c>
      <c r="Z369" s="6">
        <f t="shared" si="106"/>
        <v>2.4128728414442699</v>
      </c>
      <c r="AA369" s="6">
        <f t="shared" si="107"/>
        <v>3.804794520547945</v>
      </c>
      <c r="AB369" s="13">
        <f t="shared" si="111"/>
        <v>0.57687320077361159</v>
      </c>
      <c r="AC369" t="s">
        <v>39</v>
      </c>
      <c r="AE369" t="s">
        <v>796</v>
      </c>
      <c r="AF369" s="9">
        <v>0.37777777777777777</v>
      </c>
      <c r="AG369" s="9">
        <v>0.44444444444444442</v>
      </c>
      <c r="AH369" s="9">
        <f t="shared" si="112"/>
        <v>6.6666666666666652E-2</v>
      </c>
      <c r="AI369" s="9">
        <v>0.37777777777777777</v>
      </c>
      <c r="AJ369" s="9">
        <v>0.52083333333333337</v>
      </c>
      <c r="AK369" s="9">
        <f t="shared" si="113"/>
        <v>0.1430555555555556</v>
      </c>
      <c r="AM369" t="b">
        <v>1</v>
      </c>
    </row>
    <row r="370" spans="1:39" x14ac:dyDescent="0.3">
      <c r="A370" s="3">
        <v>2750554</v>
      </c>
      <c r="B370" t="s">
        <v>780</v>
      </c>
      <c r="C370" t="s">
        <v>29</v>
      </c>
      <c r="D370">
        <v>49</v>
      </c>
      <c r="E370" s="1">
        <v>26584</v>
      </c>
      <c r="F370" s="2">
        <v>44508.426828703705</v>
      </c>
      <c r="G370" t="s">
        <v>30</v>
      </c>
      <c r="H370">
        <v>1863</v>
      </c>
      <c r="I370" s="6">
        <f t="shared" si="102"/>
        <v>18.818181818181817</v>
      </c>
      <c r="J370" s="6">
        <v>1.304</v>
      </c>
      <c r="K370" s="5">
        <v>99</v>
      </c>
      <c r="L370" s="5">
        <v>1161</v>
      </c>
      <c r="M370" s="6">
        <f t="shared" si="103"/>
        <v>11.727272727272727</v>
      </c>
      <c r="N370" s="6">
        <v>1.0669999999999999</v>
      </c>
      <c r="O370" s="5">
        <v>99</v>
      </c>
      <c r="P370"/>
      <c r="Q370" s="5">
        <v>1302</v>
      </c>
      <c r="R370" s="6">
        <f t="shared" si="104"/>
        <v>13.151515151515152</v>
      </c>
      <c r="S370" s="6">
        <v>1.2729999999999999</v>
      </c>
      <c r="T370" s="5">
        <v>99</v>
      </c>
      <c r="U370" s="5">
        <v>481</v>
      </c>
      <c r="V370" s="6">
        <f t="shared" si="105"/>
        <v>4.858585858585859</v>
      </c>
      <c r="W370" s="7">
        <v>0.89200000000000002</v>
      </c>
      <c r="X370" s="5">
        <v>99</v>
      </c>
      <c r="Z370" s="6">
        <f t="shared" si="106"/>
        <v>1.6046511627906976</v>
      </c>
      <c r="AA370" s="6">
        <f t="shared" si="107"/>
        <v>2.7068607068607067</v>
      </c>
      <c r="AB370" s="13">
        <f t="shared" si="111"/>
        <v>0.68688420862333899</v>
      </c>
      <c r="AC370" t="s">
        <v>39</v>
      </c>
      <c r="AE370" t="s">
        <v>796</v>
      </c>
      <c r="AF370" s="9">
        <v>0.39097222222222222</v>
      </c>
      <c r="AG370" s="9">
        <v>0.4375</v>
      </c>
      <c r="AH370" s="9">
        <f t="shared" si="112"/>
        <v>4.6527777777777779E-2</v>
      </c>
      <c r="AI370" s="9">
        <v>0.39097222222222222</v>
      </c>
      <c r="AJ370" s="9">
        <v>0.52083333333333337</v>
      </c>
      <c r="AK370" s="9">
        <f t="shared" si="113"/>
        <v>0.12986111111111115</v>
      </c>
      <c r="AM370" t="b">
        <v>1</v>
      </c>
    </row>
    <row r="371" spans="1:39" x14ac:dyDescent="0.3">
      <c r="A371" s="3" t="s">
        <v>781</v>
      </c>
      <c r="B371" t="s">
        <v>782</v>
      </c>
      <c r="C371" t="s">
        <v>52</v>
      </c>
      <c r="D371">
        <v>53</v>
      </c>
      <c r="E371" s="1">
        <v>25021</v>
      </c>
      <c r="F371" s="2">
        <v>44510.438287037039</v>
      </c>
      <c r="G371" t="s">
        <v>30</v>
      </c>
      <c r="H371">
        <v>1430</v>
      </c>
      <c r="I371" s="6">
        <f t="shared" si="102"/>
        <v>14.444444444444445</v>
      </c>
      <c r="J371" s="6">
        <v>3.8260000000000001</v>
      </c>
      <c r="K371" s="5">
        <v>99</v>
      </c>
      <c r="L371" s="5">
        <v>827</v>
      </c>
      <c r="M371" s="6">
        <f t="shared" si="103"/>
        <v>8.3535353535353529</v>
      </c>
      <c r="N371" s="6">
        <v>2.915</v>
      </c>
      <c r="O371" s="5">
        <v>99</v>
      </c>
      <c r="P371"/>
      <c r="Q371" s="5">
        <v>1149</v>
      </c>
      <c r="R371" s="6">
        <f t="shared" si="104"/>
        <v>11.606060606060606</v>
      </c>
      <c r="S371" s="6">
        <v>3.4870000000000001</v>
      </c>
      <c r="T371" s="5">
        <v>99</v>
      </c>
      <c r="U371" s="5">
        <v>369</v>
      </c>
      <c r="V371" s="6">
        <f t="shared" si="105"/>
        <v>3.7272727272727271</v>
      </c>
      <c r="W371" s="6">
        <v>2.0489999999999999</v>
      </c>
      <c r="X371" s="5">
        <v>99</v>
      </c>
      <c r="Z371" s="6">
        <f t="shared" si="106"/>
        <v>1.7291414752116083</v>
      </c>
      <c r="AA371" s="6">
        <f t="shared" si="107"/>
        <v>3.1138211382113821</v>
      </c>
      <c r="AB371" s="13">
        <f t="shared" si="111"/>
        <v>0.80079026664392505</v>
      </c>
      <c r="AC371" t="s">
        <v>31</v>
      </c>
      <c r="AE371" t="s">
        <v>796</v>
      </c>
      <c r="AF371" s="9">
        <v>0.37708333333333338</v>
      </c>
      <c r="AG371" s="9">
        <v>0.44444444444444442</v>
      </c>
      <c r="AH371" s="9">
        <f t="shared" si="112"/>
        <v>6.7361111111111038E-2</v>
      </c>
      <c r="AI371" s="9">
        <v>0.37708333333333338</v>
      </c>
      <c r="AJ371" s="9">
        <v>0.52083333333333337</v>
      </c>
      <c r="AK371" s="9">
        <f t="shared" si="113"/>
        <v>0.14374999999999999</v>
      </c>
      <c r="AM371" t="b">
        <v>1</v>
      </c>
    </row>
    <row r="372" spans="1:39" x14ac:dyDescent="0.3">
      <c r="A372" s="3">
        <v>2407033</v>
      </c>
      <c r="B372" t="s">
        <v>783</v>
      </c>
      <c r="C372" t="s">
        <v>29</v>
      </c>
      <c r="D372">
        <v>51</v>
      </c>
      <c r="E372" s="1">
        <v>25820</v>
      </c>
      <c r="F372" s="2">
        <v>44510.43167824074</v>
      </c>
      <c r="G372" t="s">
        <v>30</v>
      </c>
      <c r="H372">
        <v>2517</v>
      </c>
      <c r="I372" s="6">
        <f t="shared" si="102"/>
        <v>25.17</v>
      </c>
      <c r="J372" s="6">
        <v>1.5109999999999999</v>
      </c>
      <c r="K372" s="5">
        <v>100</v>
      </c>
      <c r="L372" s="5">
        <v>1160</v>
      </c>
      <c r="M372" s="6">
        <f t="shared" si="103"/>
        <v>11.6</v>
      </c>
      <c r="N372" s="6">
        <v>1.5369999999999999</v>
      </c>
      <c r="O372" s="5">
        <v>100</v>
      </c>
      <c r="P372"/>
      <c r="Q372" s="5">
        <v>1673</v>
      </c>
      <c r="R372" s="6">
        <f t="shared" si="104"/>
        <v>16.73</v>
      </c>
      <c r="S372" s="6">
        <v>1.5229999999999999</v>
      </c>
      <c r="T372" s="5">
        <v>100</v>
      </c>
      <c r="U372" s="5">
        <v>348</v>
      </c>
      <c r="V372" s="6">
        <f t="shared" si="105"/>
        <v>3.48</v>
      </c>
      <c r="W372" s="6">
        <v>0.57699999999999996</v>
      </c>
      <c r="X372" s="5">
        <v>100</v>
      </c>
      <c r="Z372" s="6">
        <f t="shared" si="106"/>
        <v>2.169827586206897</v>
      </c>
      <c r="AA372" s="6">
        <f t="shared" si="107"/>
        <v>4.8074712643678161</v>
      </c>
      <c r="AB372" s="13">
        <f t="shared" si="111"/>
        <v>1.2156005827042771</v>
      </c>
      <c r="AC372" t="s">
        <v>39</v>
      </c>
      <c r="AE372" t="s">
        <v>797</v>
      </c>
      <c r="AF372" s="9">
        <v>0.38958333333333334</v>
      </c>
      <c r="AG372" s="9">
        <v>0.44444444444444442</v>
      </c>
      <c r="AH372" s="9">
        <f t="shared" si="112"/>
        <v>5.4861111111111083E-2</v>
      </c>
      <c r="AI372" s="9">
        <v>0.38958333333333334</v>
      </c>
      <c r="AJ372" s="9">
        <v>0.53125</v>
      </c>
      <c r="AK372" s="9">
        <f t="shared" si="113"/>
        <v>0.14166666666666666</v>
      </c>
      <c r="AM372" t="b">
        <v>1</v>
      </c>
    </row>
    <row r="373" spans="1:39" x14ac:dyDescent="0.3">
      <c r="A373" s="3" t="s">
        <v>784</v>
      </c>
      <c r="B373" t="s">
        <v>785</v>
      </c>
      <c r="C373" t="s">
        <v>29</v>
      </c>
      <c r="D373">
        <v>58</v>
      </c>
      <c r="E373" s="1">
        <v>23081</v>
      </c>
      <c r="F373" s="2">
        <v>44516.436620370368</v>
      </c>
      <c r="G373" t="s">
        <v>30</v>
      </c>
      <c r="H373">
        <v>3770</v>
      </c>
      <c r="I373" s="6">
        <f t="shared" si="102"/>
        <v>37.700000000000003</v>
      </c>
      <c r="J373">
        <v>6.5469999999999997</v>
      </c>
      <c r="K373" s="5">
        <v>100</v>
      </c>
      <c r="L373" s="5">
        <v>1465</v>
      </c>
      <c r="M373" s="6">
        <f t="shared" si="103"/>
        <v>14.65</v>
      </c>
      <c r="N373" s="6">
        <v>3.6880000000000002</v>
      </c>
      <c r="O373" s="5">
        <v>100</v>
      </c>
      <c r="P373"/>
      <c r="Q373" s="5">
        <v>2534</v>
      </c>
      <c r="R373" s="6">
        <f t="shared" si="104"/>
        <v>25.595959595959595</v>
      </c>
      <c r="S373" s="6">
        <v>5.085</v>
      </c>
      <c r="T373" s="5">
        <v>99</v>
      </c>
      <c r="U373" s="5">
        <v>528</v>
      </c>
      <c r="V373" s="6">
        <f t="shared" si="105"/>
        <v>5.333333333333333</v>
      </c>
      <c r="W373" s="6">
        <v>2.4700000000000002</v>
      </c>
      <c r="X373" s="5">
        <v>99</v>
      </c>
      <c r="Z373" s="6">
        <f t="shared" si="106"/>
        <v>2.5733788395904438</v>
      </c>
      <c r="AA373" s="6">
        <f t="shared" si="107"/>
        <v>4.7992424242424248</v>
      </c>
      <c r="AB373" s="13">
        <f t="shared" si="111"/>
        <v>0.86495759987139309</v>
      </c>
      <c r="AC373" t="s">
        <v>40</v>
      </c>
      <c r="AE373" t="s">
        <v>798</v>
      </c>
      <c r="AF373" s="9">
        <v>0.39305555555555555</v>
      </c>
      <c r="AG373" s="9">
        <v>0.44444444444444442</v>
      </c>
      <c r="AH373" s="9">
        <f t="shared" si="112"/>
        <v>5.1388888888888873E-2</v>
      </c>
      <c r="AI373" s="9">
        <v>0.39305555555555555</v>
      </c>
      <c r="AJ373" s="9">
        <v>0.53472222222222221</v>
      </c>
      <c r="AK373" s="9">
        <f t="shared" si="113"/>
        <v>0.14166666666666666</v>
      </c>
      <c r="AM373" t="b">
        <v>1</v>
      </c>
    </row>
    <row r="374" spans="1:39" x14ac:dyDescent="0.3">
      <c r="A374" s="3">
        <v>2714865</v>
      </c>
      <c r="B374" t="s">
        <v>786</v>
      </c>
      <c r="C374" t="s">
        <v>29</v>
      </c>
      <c r="D374">
        <v>63</v>
      </c>
      <c r="E374" s="1">
        <v>21301</v>
      </c>
      <c r="F374" s="2">
        <v>44516.420162037037</v>
      </c>
      <c r="G374" t="s">
        <v>30</v>
      </c>
      <c r="H374">
        <v>2683</v>
      </c>
      <c r="I374" s="6">
        <f t="shared" si="102"/>
        <v>26.83</v>
      </c>
      <c r="J374">
        <v>5.7720000000000002</v>
      </c>
      <c r="K374" s="5">
        <v>100</v>
      </c>
      <c r="L374" s="5">
        <v>1643</v>
      </c>
      <c r="M374" s="6">
        <f t="shared" si="103"/>
        <v>16.43</v>
      </c>
      <c r="N374" s="6">
        <v>4.5380000000000003</v>
      </c>
      <c r="O374" s="5">
        <v>100</v>
      </c>
      <c r="P374"/>
      <c r="Q374" s="5">
        <v>1801</v>
      </c>
      <c r="R374" s="6">
        <f t="shared" si="104"/>
        <v>18.19191919191919</v>
      </c>
      <c r="S374" s="6">
        <v>4.6980000000000004</v>
      </c>
      <c r="T374" s="5">
        <v>99</v>
      </c>
      <c r="U374" s="5">
        <v>598</v>
      </c>
      <c r="V374" s="6">
        <f t="shared" si="105"/>
        <v>6.0404040404040407</v>
      </c>
      <c r="W374" s="7">
        <v>2.5670000000000002</v>
      </c>
      <c r="X374" s="5">
        <v>99</v>
      </c>
      <c r="Z374" s="6">
        <f t="shared" si="106"/>
        <v>1.6329884357881923</v>
      </c>
      <c r="AA374" s="6">
        <f t="shared" si="107"/>
        <v>3.0117056856187285</v>
      </c>
      <c r="AB374" s="13">
        <f t="shared" si="111"/>
        <v>0.84429088388802498</v>
      </c>
      <c r="AC374" t="s">
        <v>31</v>
      </c>
      <c r="AE374" t="s">
        <v>796</v>
      </c>
      <c r="AF374" s="9">
        <v>0.3756944444444445</v>
      </c>
      <c r="AG374" s="9">
        <v>0.4236111111111111</v>
      </c>
      <c r="AH374" s="9">
        <f t="shared" si="112"/>
        <v>4.7916666666666607E-2</v>
      </c>
      <c r="AI374" s="9">
        <v>0.3756944444444445</v>
      </c>
      <c r="AJ374" s="9">
        <v>0.52083333333333337</v>
      </c>
      <c r="AK374" s="9">
        <f t="shared" si="113"/>
        <v>0.14513888888888887</v>
      </c>
      <c r="AM374" t="b">
        <v>1</v>
      </c>
    </row>
    <row r="375" spans="1:39" x14ac:dyDescent="0.3">
      <c r="A375" s="3">
        <v>1320820</v>
      </c>
      <c r="B375" t="s">
        <v>787</v>
      </c>
      <c r="C375" t="s">
        <v>29</v>
      </c>
      <c r="D375">
        <v>48</v>
      </c>
      <c r="E375" s="1">
        <v>26885</v>
      </c>
      <c r="F375" s="2">
        <v>44518.434039351851</v>
      </c>
      <c r="G375" t="s">
        <v>30</v>
      </c>
      <c r="H375">
        <v>2598</v>
      </c>
      <c r="I375" s="6">
        <f t="shared" si="102"/>
        <v>26.242424242424242</v>
      </c>
      <c r="J375">
        <v>5.23</v>
      </c>
      <c r="K375" s="5">
        <v>99</v>
      </c>
      <c r="L375" s="5">
        <v>1073</v>
      </c>
      <c r="M375" s="6">
        <f t="shared" si="103"/>
        <v>10.838383838383839</v>
      </c>
      <c r="N375" s="6">
        <v>3.3130000000000002</v>
      </c>
      <c r="O375" s="5">
        <v>99</v>
      </c>
      <c r="P375"/>
      <c r="Q375" s="5">
        <v>1920</v>
      </c>
      <c r="R375" s="6">
        <f t="shared" si="104"/>
        <v>19.393939393939394</v>
      </c>
      <c r="S375" s="6">
        <v>4.8339999999999996</v>
      </c>
      <c r="T375" s="5">
        <v>99</v>
      </c>
      <c r="U375" s="5">
        <v>343</v>
      </c>
      <c r="V375" s="6">
        <f t="shared" si="105"/>
        <v>3.4646464646464645</v>
      </c>
      <c r="W375" s="7">
        <v>1.698</v>
      </c>
      <c r="X375" s="5">
        <v>99</v>
      </c>
      <c r="Z375" s="6">
        <f t="shared" si="106"/>
        <v>2.4212488350419381</v>
      </c>
      <c r="AA375" s="6">
        <f t="shared" si="107"/>
        <v>5.5976676384839656</v>
      </c>
      <c r="AB375" s="13">
        <f t="shared" si="111"/>
        <v>1.3118927544623926</v>
      </c>
      <c r="AC375" t="s">
        <v>40</v>
      </c>
      <c r="AE375" t="s">
        <v>796</v>
      </c>
      <c r="AF375" s="9">
        <v>0.37986111111111115</v>
      </c>
      <c r="AG375" s="9">
        <v>0.4375</v>
      </c>
      <c r="AH375" s="9">
        <f t="shared" si="112"/>
        <v>5.7638888888888851E-2</v>
      </c>
      <c r="AI375" s="9">
        <v>0.37986111111111115</v>
      </c>
      <c r="AJ375" s="9">
        <v>0.52083333333333337</v>
      </c>
      <c r="AK375" s="9">
        <f t="shared" si="113"/>
        <v>0.14097222222222222</v>
      </c>
      <c r="AM375" t="b">
        <v>1</v>
      </c>
    </row>
    <row r="376" spans="1:39" x14ac:dyDescent="0.3">
      <c r="A376" s="3">
        <v>2737577</v>
      </c>
      <c r="B376" t="s">
        <v>788</v>
      </c>
      <c r="C376" t="s">
        <v>52</v>
      </c>
      <c r="D376">
        <v>40</v>
      </c>
      <c r="E376" s="1">
        <v>29743</v>
      </c>
      <c r="F376" s="2">
        <v>44519.426631944443</v>
      </c>
      <c r="G376" t="s">
        <v>30</v>
      </c>
      <c r="H376">
        <v>1245</v>
      </c>
      <c r="I376" s="6">
        <f t="shared" si="102"/>
        <v>12.575757575757576</v>
      </c>
      <c r="J376">
        <v>1.23</v>
      </c>
      <c r="K376" s="5">
        <v>99</v>
      </c>
      <c r="L376" s="5">
        <v>662</v>
      </c>
      <c r="M376" s="6">
        <f t="shared" si="103"/>
        <v>6.6868686868686869</v>
      </c>
      <c r="N376" s="6">
        <v>1.0660000000000001</v>
      </c>
      <c r="O376" s="5">
        <v>99</v>
      </c>
      <c r="P376"/>
      <c r="Q376" s="5">
        <v>883</v>
      </c>
      <c r="R376" s="6">
        <f t="shared" si="104"/>
        <v>8.9191919191919187</v>
      </c>
      <c r="S376" s="6">
        <v>1.0169999999999999</v>
      </c>
      <c r="T376" s="5">
        <v>99</v>
      </c>
      <c r="U376" s="5">
        <v>320</v>
      </c>
      <c r="V376" s="6">
        <f t="shared" si="105"/>
        <v>3.2323232323232323</v>
      </c>
      <c r="W376" s="6">
        <v>0.55000000000000004</v>
      </c>
      <c r="X376" s="5">
        <v>99</v>
      </c>
      <c r="Z376" s="6">
        <f t="shared" si="106"/>
        <v>1.880664652567976</v>
      </c>
      <c r="AA376" s="6">
        <f t="shared" si="107"/>
        <v>2.7593749999999999</v>
      </c>
      <c r="AB376" s="13">
        <f t="shared" si="111"/>
        <v>0.46723393574297173</v>
      </c>
      <c r="AC376" t="s">
        <v>39</v>
      </c>
      <c r="AE376" t="s">
        <v>797</v>
      </c>
      <c r="AF376" s="9">
        <v>0.37708333333333338</v>
      </c>
      <c r="AG376" s="9">
        <v>0.43402777777777773</v>
      </c>
      <c r="AH376" s="9">
        <f t="shared" si="112"/>
        <v>5.6944444444444353E-2</v>
      </c>
      <c r="AI376" s="9">
        <v>0.37708333333333338</v>
      </c>
      <c r="AJ376" s="9">
        <v>0.51736111111111105</v>
      </c>
      <c r="AK376" s="9">
        <f t="shared" si="113"/>
        <v>0.14027777777777767</v>
      </c>
      <c r="AM376" t="b">
        <v>1</v>
      </c>
    </row>
    <row r="377" spans="1:39" x14ac:dyDescent="0.3">
      <c r="A377" s="3">
        <v>2428459</v>
      </c>
      <c r="B377" t="s">
        <v>789</v>
      </c>
      <c r="C377" t="s">
        <v>29</v>
      </c>
      <c r="D377">
        <v>37</v>
      </c>
      <c r="E377" s="1">
        <v>30770</v>
      </c>
      <c r="F377" s="2">
        <v>44522.442384259259</v>
      </c>
      <c r="G377" t="s">
        <v>30</v>
      </c>
      <c r="H377">
        <v>1851</v>
      </c>
      <c r="I377" s="6">
        <f t="shared" si="102"/>
        <v>18.696969696969695</v>
      </c>
      <c r="J377" s="6">
        <v>4.5609999999999999</v>
      </c>
      <c r="K377" s="5">
        <v>99</v>
      </c>
      <c r="L377" s="5">
        <v>872</v>
      </c>
      <c r="M377" s="6">
        <f t="shared" si="103"/>
        <v>8.808080808080808</v>
      </c>
      <c r="N377" s="6">
        <v>2.891</v>
      </c>
      <c r="O377" s="5">
        <v>99</v>
      </c>
      <c r="P377"/>
      <c r="Q377" s="5">
        <v>1195</v>
      </c>
      <c r="R377" s="6">
        <f t="shared" si="104"/>
        <v>12.070707070707071</v>
      </c>
      <c r="S377" s="6">
        <v>3.9180000000000001</v>
      </c>
      <c r="T377" s="5">
        <v>99</v>
      </c>
      <c r="U377" s="5">
        <v>348</v>
      </c>
      <c r="V377" s="6">
        <f t="shared" si="105"/>
        <v>3.5151515151515151</v>
      </c>
      <c r="W377" s="6">
        <v>2.1539999999999999</v>
      </c>
      <c r="X377" s="5">
        <v>99</v>
      </c>
      <c r="Z377" s="6">
        <f t="shared" si="106"/>
        <v>2.1227064220183487</v>
      </c>
      <c r="AA377" s="6">
        <f t="shared" si="107"/>
        <v>3.4339080459770117</v>
      </c>
      <c r="AB377" s="13">
        <f t="shared" si="111"/>
        <v>0.61770276396107737</v>
      </c>
      <c r="AC377" t="s">
        <v>31</v>
      </c>
      <c r="AE377" t="s">
        <v>796</v>
      </c>
      <c r="AF377" s="9">
        <v>0.37777777777777777</v>
      </c>
      <c r="AG377" s="9">
        <v>0.44444444444444442</v>
      </c>
      <c r="AH377" s="9">
        <f t="shared" si="112"/>
        <v>6.6666666666666652E-2</v>
      </c>
      <c r="AI377" s="9">
        <v>0.37777777777777777</v>
      </c>
      <c r="AJ377" s="9">
        <v>0.52083333333333337</v>
      </c>
      <c r="AK377" s="9">
        <f t="shared" si="113"/>
        <v>0.1430555555555556</v>
      </c>
      <c r="AM377" t="b">
        <v>1</v>
      </c>
    </row>
    <row r="378" spans="1:39" x14ac:dyDescent="0.3">
      <c r="A378" s="3">
        <v>2590733</v>
      </c>
      <c r="B378" t="s">
        <v>790</v>
      </c>
      <c r="C378" t="s">
        <v>29</v>
      </c>
      <c r="D378">
        <v>46</v>
      </c>
      <c r="E378" s="1">
        <v>27397</v>
      </c>
      <c r="F378" s="2">
        <v>44523.425625000003</v>
      </c>
      <c r="G378" t="s">
        <v>30</v>
      </c>
      <c r="H378">
        <v>3344</v>
      </c>
      <c r="I378" s="6">
        <f t="shared" si="102"/>
        <v>33.44</v>
      </c>
      <c r="J378">
        <v>6.4169999999999998</v>
      </c>
      <c r="K378">
        <v>100</v>
      </c>
      <c r="L378" s="5">
        <v>1192</v>
      </c>
      <c r="M378" s="6">
        <f t="shared" si="103"/>
        <v>11.92</v>
      </c>
      <c r="N378" s="6">
        <v>3.6949999999999998</v>
      </c>
      <c r="O378" s="5">
        <v>100</v>
      </c>
      <c r="P378"/>
      <c r="Q378" s="5">
        <v>1902</v>
      </c>
      <c r="R378" s="6">
        <f t="shared" si="104"/>
        <v>19.212121212121211</v>
      </c>
      <c r="S378" s="6">
        <v>4.556</v>
      </c>
      <c r="T378" s="5">
        <v>99</v>
      </c>
      <c r="U378" s="5">
        <v>314</v>
      </c>
      <c r="V378" s="6">
        <f t="shared" si="105"/>
        <v>3.1717171717171717</v>
      </c>
      <c r="W378" s="6">
        <v>1.9119999999999999</v>
      </c>
      <c r="X378" s="5">
        <v>99</v>
      </c>
      <c r="Z378" s="6">
        <f t="shared" si="106"/>
        <v>2.8053691275167782</v>
      </c>
      <c r="AA378" s="6">
        <f t="shared" si="107"/>
        <v>6.0573248407643305</v>
      </c>
      <c r="AB378" s="13">
        <f t="shared" si="111"/>
        <v>1.1591899552006826</v>
      </c>
      <c r="AC378" t="s">
        <v>40</v>
      </c>
      <c r="AE378" t="s">
        <v>796</v>
      </c>
      <c r="AF378" s="9">
        <v>0.3888888888888889</v>
      </c>
      <c r="AG378" s="9">
        <v>0.44444444444444442</v>
      </c>
      <c r="AH378" s="9">
        <f t="shared" si="112"/>
        <v>5.5555555555555525E-2</v>
      </c>
      <c r="AI378" s="9">
        <v>0.3888888888888889</v>
      </c>
      <c r="AJ378" s="9">
        <v>0.53472222222222221</v>
      </c>
      <c r="AK378" s="9">
        <f t="shared" si="113"/>
        <v>0.14583333333333331</v>
      </c>
      <c r="AM378" t="b">
        <v>1</v>
      </c>
    </row>
    <row r="379" spans="1:39" x14ac:dyDescent="0.3">
      <c r="A379" s="3">
        <v>2312995</v>
      </c>
      <c r="B379" t="s">
        <v>791</v>
      </c>
      <c r="C379" t="s">
        <v>29</v>
      </c>
      <c r="D379">
        <v>38</v>
      </c>
      <c r="E379" s="1">
        <v>30554</v>
      </c>
      <c r="F379" s="2">
        <v>44525.435254629629</v>
      </c>
      <c r="G379" t="s">
        <v>30</v>
      </c>
      <c r="H379">
        <v>2629</v>
      </c>
      <c r="I379" s="6">
        <f t="shared" si="102"/>
        <v>26.29</v>
      </c>
      <c r="J379">
        <v>5.4480000000000004</v>
      </c>
      <c r="K379" s="5">
        <v>100</v>
      </c>
      <c r="L379" s="5">
        <v>1160</v>
      </c>
      <c r="M379" s="6">
        <f t="shared" si="103"/>
        <v>11.6</v>
      </c>
      <c r="N379" s="6">
        <v>3.26</v>
      </c>
      <c r="O379" s="5">
        <v>100</v>
      </c>
      <c r="P379"/>
      <c r="Q379" s="5">
        <v>1733</v>
      </c>
      <c r="R379" s="6">
        <f t="shared" si="104"/>
        <v>17.329999999999998</v>
      </c>
      <c r="S379" s="6">
        <v>5.0010000000000003</v>
      </c>
      <c r="T379" s="5">
        <v>100</v>
      </c>
      <c r="U379" s="5">
        <v>288</v>
      </c>
      <c r="V379" s="6">
        <f t="shared" si="105"/>
        <v>2.88</v>
      </c>
      <c r="W379" s="6">
        <v>1.8919999999999999</v>
      </c>
      <c r="X379" s="5">
        <v>100</v>
      </c>
      <c r="Z379" s="6">
        <f t="shared" si="106"/>
        <v>2.2663793103448278</v>
      </c>
      <c r="AA379" s="6">
        <f t="shared" si="107"/>
        <v>6.0173611111111107</v>
      </c>
      <c r="AB379" s="13">
        <f t="shared" si="111"/>
        <v>1.6550547314145636</v>
      </c>
      <c r="AC379" t="s">
        <v>40</v>
      </c>
      <c r="AE379" t="s">
        <v>797</v>
      </c>
      <c r="AF379" s="9">
        <v>0.3923611111111111</v>
      </c>
      <c r="AG379" s="9">
        <v>0.44444444444444442</v>
      </c>
      <c r="AH379" s="9">
        <f t="shared" si="112"/>
        <v>5.2083333333333315E-2</v>
      </c>
      <c r="AI379" s="9">
        <v>0.3923611111111111</v>
      </c>
      <c r="AJ379" s="9">
        <v>0.54861111111111105</v>
      </c>
      <c r="AK379" s="9">
        <f t="shared" si="113"/>
        <v>0.15624999999999994</v>
      </c>
      <c r="AM379" t="b">
        <v>1</v>
      </c>
    </row>
    <row r="380" spans="1:39" x14ac:dyDescent="0.3">
      <c r="A380" s="3" t="s">
        <v>792</v>
      </c>
      <c r="B380" t="s">
        <v>793</v>
      </c>
      <c r="C380" t="s">
        <v>52</v>
      </c>
      <c r="D380">
        <v>79</v>
      </c>
      <c r="E380" s="1">
        <v>15612</v>
      </c>
      <c r="F380" s="2">
        <v>44525.423009259262</v>
      </c>
      <c r="G380" t="s">
        <v>30</v>
      </c>
      <c r="H380">
        <v>2465</v>
      </c>
      <c r="I380" s="6">
        <f t="shared" si="102"/>
        <v>24.8989898989899</v>
      </c>
      <c r="J380">
        <v>4.702</v>
      </c>
      <c r="K380" s="5">
        <v>99</v>
      </c>
      <c r="L380" s="5">
        <v>939</v>
      </c>
      <c r="M380" s="6">
        <f t="shared" si="103"/>
        <v>9.4848484848484844</v>
      </c>
      <c r="N380" s="6">
        <v>3.17</v>
      </c>
      <c r="O380" s="5">
        <v>99</v>
      </c>
      <c r="P380"/>
      <c r="Q380" s="5">
        <v>2006</v>
      </c>
      <c r="R380" s="6">
        <f t="shared" si="104"/>
        <v>20.262626262626263</v>
      </c>
      <c r="S380" s="6">
        <v>4.6440000000000001</v>
      </c>
      <c r="T380" s="5">
        <v>99</v>
      </c>
      <c r="U380" s="5">
        <v>377</v>
      </c>
      <c r="V380" s="6">
        <f t="shared" si="105"/>
        <v>3.808080808080808</v>
      </c>
      <c r="W380" s="6">
        <v>1.736</v>
      </c>
      <c r="X380" s="5">
        <v>99</v>
      </c>
      <c r="Z380" s="6">
        <f t="shared" si="106"/>
        <v>2.6251331203407884</v>
      </c>
      <c r="AA380" s="6">
        <f t="shared" si="107"/>
        <v>5.3209549071618039</v>
      </c>
      <c r="AB380" s="13">
        <f t="shared" si="111"/>
        <v>1.0269276502332387</v>
      </c>
      <c r="AC380" t="s">
        <v>31</v>
      </c>
      <c r="AE380" t="s">
        <v>796</v>
      </c>
      <c r="AF380" s="9">
        <v>0.37083333333333335</v>
      </c>
      <c r="AG380" s="9">
        <v>0.4236111111111111</v>
      </c>
      <c r="AH380" s="9">
        <f t="shared" si="112"/>
        <v>5.2777777777777757E-2</v>
      </c>
      <c r="AI380" s="9">
        <v>0.37083333333333335</v>
      </c>
      <c r="AJ380" s="9">
        <v>0.52083333333333337</v>
      </c>
      <c r="AK380" s="9">
        <f t="shared" si="113"/>
        <v>0.15000000000000002</v>
      </c>
      <c r="AM380" t="b">
        <v>1</v>
      </c>
    </row>
    <row r="381" spans="1:39" x14ac:dyDescent="0.3">
      <c r="A381" s="3">
        <v>2315710</v>
      </c>
      <c r="B381" t="s">
        <v>794</v>
      </c>
      <c r="C381" t="s">
        <v>29</v>
      </c>
      <c r="D381">
        <v>60</v>
      </c>
      <c r="E381" s="1">
        <v>22382</v>
      </c>
      <c r="F381" s="2">
        <v>44526.445219907408</v>
      </c>
      <c r="G381" t="s">
        <v>30</v>
      </c>
      <c r="H381">
        <v>2220</v>
      </c>
      <c r="I381" s="6">
        <f t="shared" si="102"/>
        <v>22.424242424242426</v>
      </c>
      <c r="J381" s="6">
        <v>4.9589999999999996</v>
      </c>
      <c r="K381" s="5">
        <v>99</v>
      </c>
      <c r="L381" s="5">
        <v>1276</v>
      </c>
      <c r="M381" s="6">
        <f t="shared" si="103"/>
        <v>12.888888888888889</v>
      </c>
      <c r="N381" s="6">
        <v>3.6389999999999998</v>
      </c>
      <c r="O381" s="5">
        <v>99</v>
      </c>
      <c r="P381"/>
      <c r="Q381" s="5">
        <v>1595</v>
      </c>
      <c r="R381" s="6">
        <f t="shared" si="104"/>
        <v>16.111111111111111</v>
      </c>
      <c r="S381" s="6">
        <v>4.0330000000000004</v>
      </c>
      <c r="T381" s="5">
        <v>99</v>
      </c>
      <c r="U381" s="5">
        <v>469</v>
      </c>
      <c r="V381" s="6">
        <f t="shared" si="105"/>
        <v>4.737373737373737</v>
      </c>
      <c r="W381" s="6">
        <v>2.27</v>
      </c>
      <c r="X381" s="5">
        <v>99</v>
      </c>
      <c r="Z381" s="6">
        <f t="shared" si="106"/>
        <v>1.7398119122257054</v>
      </c>
      <c r="AA381" s="6">
        <f t="shared" si="107"/>
        <v>3.4008528784648191</v>
      </c>
      <c r="AB381" s="13">
        <f t="shared" si="111"/>
        <v>0.95472444726176076</v>
      </c>
      <c r="AC381" t="s">
        <v>31</v>
      </c>
      <c r="AE381" t="s">
        <v>797</v>
      </c>
      <c r="AF381" s="9">
        <v>0.40208333333333335</v>
      </c>
      <c r="AG381" s="9">
        <v>0.44444444444444442</v>
      </c>
      <c r="AH381" s="9">
        <f t="shared" si="112"/>
        <v>4.2361111111111072E-2</v>
      </c>
      <c r="AI381" s="9">
        <v>0.40208333333333335</v>
      </c>
      <c r="AJ381" s="9">
        <v>0.54861111111111105</v>
      </c>
      <c r="AK381" s="9">
        <f t="shared" si="113"/>
        <v>0.1465277777777777</v>
      </c>
      <c r="AM381" t="b">
        <v>1</v>
      </c>
    </row>
    <row r="382" spans="1:39" x14ac:dyDescent="0.3">
      <c r="A382">
        <v>2361973</v>
      </c>
      <c r="B382" t="s">
        <v>795</v>
      </c>
      <c r="C382" t="s">
        <v>29</v>
      </c>
      <c r="D382">
        <v>66</v>
      </c>
      <c r="E382" s="1">
        <v>20319</v>
      </c>
      <c r="F382" s="2">
        <v>44529.442800925928</v>
      </c>
      <c r="G382" t="s">
        <v>30</v>
      </c>
      <c r="H382">
        <v>2895</v>
      </c>
      <c r="I382" s="6">
        <f t="shared" si="102"/>
        <v>28.95</v>
      </c>
      <c r="J382">
        <v>5.5220000000000002</v>
      </c>
      <c r="K382" s="5">
        <v>100</v>
      </c>
      <c r="L382" s="5">
        <v>1153</v>
      </c>
      <c r="M382" s="6">
        <f t="shared" si="103"/>
        <v>11.53</v>
      </c>
      <c r="N382" s="6">
        <v>3.577</v>
      </c>
      <c r="O382" s="5">
        <v>100</v>
      </c>
      <c r="P382"/>
      <c r="Q382" s="5">
        <v>1974</v>
      </c>
      <c r="R382" s="6">
        <f t="shared" si="104"/>
        <v>19.739999999999998</v>
      </c>
      <c r="S382" s="6">
        <v>5.1059999999999999</v>
      </c>
      <c r="T382" s="5">
        <v>100</v>
      </c>
      <c r="U382" s="5">
        <v>452</v>
      </c>
      <c r="V382" s="6">
        <f t="shared" si="105"/>
        <v>4.5199999999999996</v>
      </c>
      <c r="W382" s="6">
        <v>2.0910000000000002</v>
      </c>
      <c r="X382" s="5">
        <v>100</v>
      </c>
      <c r="Z382" s="6">
        <f t="shared" si="106"/>
        <v>2.5108412836079794</v>
      </c>
      <c r="AA382" s="6">
        <f t="shared" si="107"/>
        <v>4.3672566371681416</v>
      </c>
      <c r="AB382" s="13">
        <f t="shared" si="111"/>
        <v>0.73935989729010942</v>
      </c>
      <c r="AC382" t="s">
        <v>31</v>
      </c>
      <c r="AE382" t="s">
        <v>796</v>
      </c>
      <c r="AF382" s="9">
        <v>0.38750000000000001</v>
      </c>
      <c r="AG382" s="9">
        <v>0.44444444444444442</v>
      </c>
      <c r="AH382" s="9">
        <f t="shared" si="112"/>
        <v>5.6944444444444409E-2</v>
      </c>
      <c r="AI382" s="9">
        <v>0.38750000000000001</v>
      </c>
      <c r="AJ382" s="9">
        <v>0.53472222222222221</v>
      </c>
      <c r="AK382" s="9">
        <f t="shared" si="113"/>
        <v>0.1472222222222222</v>
      </c>
      <c r="AM382" t="b">
        <v>1</v>
      </c>
    </row>
    <row r="383" spans="1:39" x14ac:dyDescent="0.3">
      <c r="A383" s="3">
        <v>2680989</v>
      </c>
      <c r="B383" t="s">
        <v>799</v>
      </c>
      <c r="C383" t="s">
        <v>29</v>
      </c>
      <c r="D383">
        <v>48</v>
      </c>
      <c r="E383" s="1">
        <v>26784</v>
      </c>
      <c r="F383" s="2">
        <v>44537.429895833331</v>
      </c>
      <c r="G383" t="s">
        <v>30</v>
      </c>
      <c r="H383">
        <v>1784</v>
      </c>
      <c r="I383" s="6">
        <f t="shared" si="102"/>
        <v>18.020202020202021</v>
      </c>
      <c r="J383" s="6">
        <v>4.1479999999999997</v>
      </c>
      <c r="K383" s="5">
        <v>99</v>
      </c>
      <c r="L383" s="5">
        <v>654</v>
      </c>
      <c r="M383" s="6">
        <f t="shared" si="103"/>
        <v>6.6060606060606064</v>
      </c>
      <c r="N383" s="6">
        <v>2.5630000000000002</v>
      </c>
      <c r="O383" s="5">
        <v>99</v>
      </c>
      <c r="P383"/>
      <c r="Q383" s="5">
        <v>1063</v>
      </c>
      <c r="R383" s="6">
        <f t="shared" si="104"/>
        <v>10.737373737373737</v>
      </c>
      <c r="S383" s="6">
        <v>3.7949999999999999</v>
      </c>
      <c r="T383" s="5">
        <v>99</v>
      </c>
      <c r="U383" s="5">
        <v>229</v>
      </c>
      <c r="V383" s="6">
        <f t="shared" si="105"/>
        <v>2.3131313131313131</v>
      </c>
      <c r="W383" s="6">
        <v>1.536</v>
      </c>
      <c r="X383" s="5">
        <v>99</v>
      </c>
      <c r="Z383" s="6">
        <f t="shared" si="106"/>
        <v>2.7278287461773698</v>
      </c>
      <c r="AA383" s="6">
        <f t="shared" si="107"/>
        <v>4.6419213973799121</v>
      </c>
      <c r="AB383" s="13">
        <f t="shared" ref="AB383:AB393" si="114">(AA383-Z383)/Z383</f>
        <v>0.70169091585564058</v>
      </c>
      <c r="AC383" t="s">
        <v>31</v>
      </c>
      <c r="AE383" t="s">
        <v>812</v>
      </c>
      <c r="AF383" s="9">
        <v>0.37291666666666662</v>
      </c>
      <c r="AG383" s="9">
        <v>0.43055555555555558</v>
      </c>
      <c r="AH383" s="9">
        <f>AG383-AF383</f>
        <v>5.7638888888888962E-2</v>
      </c>
      <c r="AI383" s="9">
        <v>0.37291666666666662</v>
      </c>
      <c r="AJ383" s="9">
        <v>0.52083333333333337</v>
      </c>
      <c r="AK383" s="9">
        <f>AJ383-AI383</f>
        <v>0.14791666666666675</v>
      </c>
      <c r="AM383" t="b">
        <v>1</v>
      </c>
    </row>
    <row r="384" spans="1:39" x14ac:dyDescent="0.3">
      <c r="A384" s="3">
        <v>2669248</v>
      </c>
      <c r="B384" t="s">
        <v>800</v>
      </c>
      <c r="C384" t="s">
        <v>29</v>
      </c>
      <c r="D384">
        <v>32</v>
      </c>
      <c r="E384" s="1">
        <v>32852</v>
      </c>
      <c r="F384" s="2">
        <v>44543.445196759261</v>
      </c>
      <c r="G384" t="s">
        <v>30</v>
      </c>
      <c r="H384">
        <v>1984</v>
      </c>
      <c r="I384" s="6">
        <f t="shared" si="102"/>
        <v>19.84</v>
      </c>
      <c r="J384" s="6">
        <v>5.2080000000000002</v>
      </c>
      <c r="K384" s="5">
        <v>100</v>
      </c>
      <c r="L384" s="5">
        <v>1258</v>
      </c>
      <c r="M384" s="6">
        <f t="shared" si="103"/>
        <v>12.58</v>
      </c>
      <c r="N384" s="6">
        <v>3.758</v>
      </c>
      <c r="O384" s="5">
        <v>100</v>
      </c>
      <c r="P384"/>
      <c r="Q384" s="5">
        <v>1170</v>
      </c>
      <c r="R384" s="6">
        <f t="shared" si="104"/>
        <v>11.818181818181818</v>
      </c>
      <c r="S384" s="6">
        <v>3.3820000000000001</v>
      </c>
      <c r="T384" s="5">
        <v>99</v>
      </c>
      <c r="U384" s="5">
        <v>354</v>
      </c>
      <c r="V384" s="6">
        <f t="shared" si="105"/>
        <v>3.5757575757575757</v>
      </c>
      <c r="W384" s="6">
        <v>1.9330000000000001</v>
      </c>
      <c r="X384" s="5">
        <v>99</v>
      </c>
      <c r="Z384" s="6">
        <f t="shared" si="106"/>
        <v>1.5771065182829889</v>
      </c>
      <c r="AA384" s="6">
        <f t="shared" si="107"/>
        <v>3.3050847457627119</v>
      </c>
      <c r="AB384" s="13">
        <f t="shared" si="114"/>
        <v>1.0956636139967195</v>
      </c>
      <c r="AC384" t="s">
        <v>31</v>
      </c>
      <c r="AE384" t="s">
        <v>813</v>
      </c>
      <c r="AF384" s="9">
        <v>0.40208333333333335</v>
      </c>
      <c r="AG384" s="9">
        <v>0.44444444444444442</v>
      </c>
      <c r="AH384" s="9">
        <f t="shared" ref="AH384:AH413" si="115">AG384-AF384</f>
        <v>4.2361111111111072E-2</v>
      </c>
      <c r="AI384" s="9">
        <v>0.40208333333333335</v>
      </c>
      <c r="AJ384" s="9">
        <v>0.54861111111111105</v>
      </c>
      <c r="AK384" s="9">
        <f t="shared" ref="AK384:AK413" si="116">AJ384-AI384</f>
        <v>0.1465277777777777</v>
      </c>
      <c r="AM384" t="b">
        <v>1</v>
      </c>
    </row>
    <row r="385" spans="1:39" x14ac:dyDescent="0.3">
      <c r="A385" s="3">
        <v>2258575</v>
      </c>
      <c r="B385" t="s">
        <v>801</v>
      </c>
      <c r="C385" t="s">
        <v>52</v>
      </c>
      <c r="D385">
        <v>68</v>
      </c>
      <c r="E385" s="1">
        <v>19549</v>
      </c>
      <c r="F385" s="2">
        <v>44543.42763888889</v>
      </c>
      <c r="G385" t="s">
        <v>30</v>
      </c>
      <c r="H385">
        <v>3260</v>
      </c>
      <c r="I385" s="6">
        <f t="shared" si="102"/>
        <v>32.929292929292927</v>
      </c>
      <c r="J385" s="6">
        <v>5.6479999999999997</v>
      </c>
      <c r="K385" s="5">
        <v>99</v>
      </c>
      <c r="L385" s="5">
        <v>1885</v>
      </c>
      <c r="M385" s="6">
        <f t="shared" si="103"/>
        <v>19.040404040404042</v>
      </c>
      <c r="N385" s="6">
        <v>4.6660000000000004</v>
      </c>
      <c r="O385" s="5">
        <v>99</v>
      </c>
      <c r="P385"/>
      <c r="Q385" s="5">
        <v>2497</v>
      </c>
      <c r="R385" s="6">
        <f t="shared" si="104"/>
        <v>24.97</v>
      </c>
      <c r="S385" s="6">
        <v>4.8289999999999997</v>
      </c>
      <c r="T385" s="5">
        <v>100</v>
      </c>
      <c r="U385" s="5">
        <v>748</v>
      </c>
      <c r="V385" s="6">
        <f t="shared" si="105"/>
        <v>7.48</v>
      </c>
      <c r="W385" s="6">
        <v>3.2519999999999998</v>
      </c>
      <c r="X385" s="5">
        <v>100</v>
      </c>
      <c r="Z385" s="6">
        <f t="shared" si="106"/>
        <v>1.7294429708222809</v>
      </c>
      <c r="AA385" s="6">
        <f t="shared" si="107"/>
        <v>3.3382352941176467</v>
      </c>
      <c r="AB385" s="13">
        <f t="shared" si="114"/>
        <v>0.9302372789606641</v>
      </c>
      <c r="AC385" t="s">
        <v>40</v>
      </c>
      <c r="AE385" t="s">
        <v>813</v>
      </c>
      <c r="AF385" s="9">
        <v>0.38125000000000003</v>
      </c>
      <c r="AG385" s="9">
        <v>0.44444444444444442</v>
      </c>
      <c r="AH385" s="9">
        <f t="shared" si="115"/>
        <v>6.3194444444444386E-2</v>
      </c>
      <c r="AI385" s="9">
        <v>0.38125000000000003</v>
      </c>
      <c r="AJ385" s="9">
        <v>0.52083333333333337</v>
      </c>
      <c r="AK385" s="9">
        <f t="shared" si="116"/>
        <v>0.13958333333333334</v>
      </c>
      <c r="AM385" t="b">
        <v>1</v>
      </c>
    </row>
    <row r="386" spans="1:39" x14ac:dyDescent="0.3">
      <c r="A386" s="3">
        <v>2713596</v>
      </c>
      <c r="B386" t="s">
        <v>802</v>
      </c>
      <c r="C386" t="s">
        <v>29</v>
      </c>
      <c r="D386">
        <v>52</v>
      </c>
      <c r="E386" s="1">
        <v>25477</v>
      </c>
      <c r="F386" s="2">
        <v>44547.444004629629</v>
      </c>
      <c r="G386" t="s">
        <v>30</v>
      </c>
      <c r="H386">
        <v>1802</v>
      </c>
      <c r="I386" s="6">
        <f t="shared" si="102"/>
        <v>18.202020202020201</v>
      </c>
      <c r="J386">
        <v>4.5309999999999997</v>
      </c>
      <c r="K386" s="5">
        <v>99</v>
      </c>
      <c r="L386" s="5">
        <v>634</v>
      </c>
      <c r="M386" s="6">
        <f t="shared" si="103"/>
        <v>6.404040404040404</v>
      </c>
      <c r="N386" s="6">
        <v>2.5150000000000001</v>
      </c>
      <c r="O386" s="5">
        <v>99</v>
      </c>
      <c r="P386"/>
      <c r="Q386" s="5">
        <v>1370</v>
      </c>
      <c r="R386" s="6">
        <f t="shared" si="104"/>
        <v>13.838383838383839</v>
      </c>
      <c r="S386" s="6">
        <v>4.2030000000000003</v>
      </c>
      <c r="T386" s="5">
        <v>99</v>
      </c>
      <c r="U386" s="5">
        <v>358</v>
      </c>
      <c r="V386" s="6">
        <f t="shared" si="105"/>
        <v>3.6161616161616164</v>
      </c>
      <c r="W386" s="7">
        <v>1.73</v>
      </c>
      <c r="X386" s="5">
        <v>99</v>
      </c>
      <c r="Z386" s="6">
        <f t="shared" si="106"/>
        <v>2.842271293375394</v>
      </c>
      <c r="AA386" s="6">
        <f t="shared" si="107"/>
        <v>3.8268156424581004</v>
      </c>
      <c r="AB386" s="13">
        <f t="shared" si="114"/>
        <v>0.34639351682488118</v>
      </c>
      <c r="AC386" t="s">
        <v>31</v>
      </c>
      <c r="AE386" t="s">
        <v>812</v>
      </c>
      <c r="AF386" s="9">
        <v>0.37083333333333335</v>
      </c>
      <c r="AG386" s="9">
        <v>0.44444444444444442</v>
      </c>
      <c r="AH386" s="9">
        <f t="shared" si="115"/>
        <v>7.3611111111111072E-2</v>
      </c>
      <c r="AI386" s="9">
        <v>0.37083333333333335</v>
      </c>
      <c r="AJ386" s="9">
        <v>0.52083333333333337</v>
      </c>
      <c r="AK386" s="9">
        <f t="shared" si="116"/>
        <v>0.15000000000000002</v>
      </c>
      <c r="AM386" t="b">
        <v>1</v>
      </c>
    </row>
    <row r="387" spans="1:39" x14ac:dyDescent="0.3">
      <c r="A387" s="3">
        <v>2679252</v>
      </c>
      <c r="B387" t="s">
        <v>803</v>
      </c>
      <c r="C387" t="s">
        <v>29</v>
      </c>
      <c r="D387">
        <v>46</v>
      </c>
      <c r="E387" s="1">
        <v>27736</v>
      </c>
      <c r="F387" s="2">
        <v>44547.440509259257</v>
      </c>
      <c r="G387" t="s">
        <v>30</v>
      </c>
      <c r="H387">
        <v>2571</v>
      </c>
      <c r="I387" s="6">
        <f t="shared" si="102"/>
        <v>25.969696969696969</v>
      </c>
      <c r="J387">
        <v>5.7380000000000004</v>
      </c>
      <c r="K387" s="5">
        <v>99</v>
      </c>
      <c r="L387" s="5">
        <v>1120</v>
      </c>
      <c r="M387" s="6">
        <f t="shared" si="103"/>
        <v>11.313131313131313</v>
      </c>
      <c r="N387" s="6">
        <v>3.3250000000000002</v>
      </c>
      <c r="O387" s="5">
        <v>99</v>
      </c>
      <c r="P387"/>
      <c r="Q387" s="5">
        <v>1807</v>
      </c>
      <c r="R387" s="6">
        <f t="shared" si="104"/>
        <v>18.252525252525253</v>
      </c>
      <c r="S387" s="6">
        <v>4.4729999999999999</v>
      </c>
      <c r="T387" s="5">
        <v>99</v>
      </c>
      <c r="U387" s="5">
        <v>542</v>
      </c>
      <c r="V387" s="6">
        <f t="shared" si="105"/>
        <v>5.4747474747474749</v>
      </c>
      <c r="W387" s="7">
        <v>2.3490000000000002</v>
      </c>
      <c r="X387" s="5">
        <v>99</v>
      </c>
      <c r="Z387" s="6">
        <f t="shared" si="106"/>
        <v>2.2955357142857142</v>
      </c>
      <c r="AA387" s="6">
        <f t="shared" si="107"/>
        <v>3.3339483394833946</v>
      </c>
      <c r="AB387" s="13">
        <f t="shared" si="114"/>
        <v>0.45236178149412759</v>
      </c>
      <c r="AC387" t="s">
        <v>40</v>
      </c>
      <c r="AE387" t="s">
        <v>814</v>
      </c>
      <c r="AF387" s="9">
        <v>0.37708333333333338</v>
      </c>
      <c r="AG387" s="9">
        <v>0.44444444444444442</v>
      </c>
      <c r="AH387" s="9">
        <f t="shared" si="115"/>
        <v>6.7361111111111038E-2</v>
      </c>
      <c r="AI387" s="9">
        <v>0.37708333333333338</v>
      </c>
      <c r="AJ387" s="9">
        <v>0.52083333333333337</v>
      </c>
      <c r="AK387" s="9">
        <f t="shared" si="116"/>
        <v>0.14374999999999999</v>
      </c>
      <c r="AM387" t="b">
        <v>1</v>
      </c>
    </row>
    <row r="388" spans="1:39" x14ac:dyDescent="0.3">
      <c r="A388" s="3">
        <v>1351306</v>
      </c>
      <c r="B388" t="s">
        <v>804</v>
      </c>
      <c r="C388" t="s">
        <v>52</v>
      </c>
      <c r="D388">
        <v>68</v>
      </c>
      <c r="E388" s="1">
        <v>19380</v>
      </c>
      <c r="F388" s="2">
        <v>44551.423819444448</v>
      </c>
      <c r="G388" t="s">
        <v>30</v>
      </c>
      <c r="H388">
        <v>3147</v>
      </c>
      <c r="I388" s="6">
        <f t="shared" si="102"/>
        <v>31.47</v>
      </c>
      <c r="J388" s="6">
        <v>5.1980000000000004</v>
      </c>
      <c r="K388" s="5">
        <v>100</v>
      </c>
      <c r="L388" s="5">
        <v>1510</v>
      </c>
      <c r="M388" s="6">
        <f t="shared" si="103"/>
        <v>15.1</v>
      </c>
      <c r="N388" s="6">
        <v>4.0490000000000004</v>
      </c>
      <c r="O388" s="5">
        <v>100</v>
      </c>
      <c r="P388"/>
      <c r="Q388" s="5">
        <v>2035</v>
      </c>
      <c r="R388" s="6">
        <f t="shared" si="104"/>
        <v>20.555555555555557</v>
      </c>
      <c r="S388" s="6">
        <v>5.0469999999999997</v>
      </c>
      <c r="T388" s="5">
        <v>99</v>
      </c>
      <c r="U388" s="5">
        <v>484</v>
      </c>
      <c r="V388" s="6">
        <f t="shared" si="105"/>
        <v>4.8888888888888893</v>
      </c>
      <c r="W388" s="7">
        <v>2.254</v>
      </c>
      <c r="X388" s="5">
        <v>99</v>
      </c>
      <c r="Z388" s="6">
        <f t="shared" si="106"/>
        <v>2.0841059602649006</v>
      </c>
      <c r="AA388" s="6">
        <f t="shared" si="107"/>
        <v>4.2045454545454541</v>
      </c>
      <c r="AB388" s="13">
        <f t="shared" si="114"/>
        <v>1.0174336308750036</v>
      </c>
      <c r="AC388" t="s">
        <v>40</v>
      </c>
      <c r="AE388" t="s">
        <v>812</v>
      </c>
      <c r="AF388" s="9">
        <v>0.38125000000000003</v>
      </c>
      <c r="AG388" s="9">
        <v>0.4236111111111111</v>
      </c>
      <c r="AH388" s="9">
        <f t="shared" si="115"/>
        <v>4.2361111111111072E-2</v>
      </c>
      <c r="AI388" s="9">
        <v>0.38125000000000003</v>
      </c>
      <c r="AJ388" s="9">
        <v>0.52013888888888882</v>
      </c>
      <c r="AK388" s="9">
        <f t="shared" si="116"/>
        <v>0.13888888888888878</v>
      </c>
      <c r="AM388" t="b">
        <v>1</v>
      </c>
    </row>
    <row r="389" spans="1:39" x14ac:dyDescent="0.3">
      <c r="A389" s="3">
        <v>7023500</v>
      </c>
      <c r="B389" t="s">
        <v>805</v>
      </c>
      <c r="C389" t="s">
        <v>29</v>
      </c>
      <c r="D389">
        <v>44</v>
      </c>
      <c r="E389" s="1">
        <v>28381</v>
      </c>
      <c r="F389" s="2">
        <v>44557.434212962966</v>
      </c>
      <c r="G389" t="s">
        <v>30</v>
      </c>
      <c r="H389">
        <v>1447</v>
      </c>
      <c r="I389" s="6">
        <f t="shared" si="102"/>
        <v>14.616161616161616</v>
      </c>
      <c r="J389">
        <v>1.6579999999999999</v>
      </c>
      <c r="K389" s="5">
        <v>99</v>
      </c>
      <c r="L389" s="5">
        <v>816</v>
      </c>
      <c r="M389" s="6">
        <f t="shared" si="103"/>
        <v>8.2424242424242422</v>
      </c>
      <c r="N389" s="6">
        <v>1.0009999999999999</v>
      </c>
      <c r="O389" s="5">
        <v>99</v>
      </c>
      <c r="P389"/>
      <c r="Q389" s="5">
        <v>938</v>
      </c>
      <c r="R389" s="6">
        <f t="shared" si="104"/>
        <v>9.474747474747474</v>
      </c>
      <c r="S389" s="6">
        <v>1.343</v>
      </c>
      <c r="T389" s="5">
        <v>99</v>
      </c>
      <c r="U389" s="5">
        <v>291</v>
      </c>
      <c r="V389" s="6">
        <f t="shared" si="105"/>
        <v>2.9393939393939394</v>
      </c>
      <c r="W389" s="6">
        <v>0.65200000000000002</v>
      </c>
      <c r="X389" s="5">
        <v>99</v>
      </c>
      <c r="Z389" s="6">
        <f t="shared" si="106"/>
        <v>1.7732843137254901</v>
      </c>
      <c r="AA389" s="6">
        <f t="shared" si="107"/>
        <v>3.2233676975945014</v>
      </c>
      <c r="AB389" s="13">
        <f t="shared" si="114"/>
        <v>0.81773879836704444</v>
      </c>
      <c r="AC389" t="s">
        <v>39</v>
      </c>
      <c r="AE389" t="s">
        <v>815</v>
      </c>
      <c r="AF389" s="9">
        <v>0.3979166666666667</v>
      </c>
      <c r="AG389" s="9">
        <v>0.44444444444444442</v>
      </c>
      <c r="AH389" s="9">
        <f t="shared" si="115"/>
        <v>4.6527777777777724E-2</v>
      </c>
      <c r="AI389" s="9">
        <v>0.3979166666666667</v>
      </c>
      <c r="AJ389" s="9">
        <v>0.52986111111111112</v>
      </c>
      <c r="AK389" s="9">
        <f t="shared" si="116"/>
        <v>0.13194444444444442</v>
      </c>
      <c r="AM389" t="b">
        <v>1</v>
      </c>
    </row>
    <row r="390" spans="1:39" x14ac:dyDescent="0.3">
      <c r="A390" s="3">
        <v>2509341</v>
      </c>
      <c r="B390" t="s">
        <v>806</v>
      </c>
      <c r="C390" t="s">
        <v>29</v>
      </c>
      <c r="D390">
        <v>60</v>
      </c>
      <c r="E390" s="1">
        <v>22553</v>
      </c>
      <c r="F390" s="2">
        <v>44560.448900462965</v>
      </c>
      <c r="G390" t="s">
        <v>30</v>
      </c>
      <c r="H390">
        <v>2120</v>
      </c>
      <c r="I390" s="6">
        <f t="shared" si="102"/>
        <v>21.414141414141415</v>
      </c>
      <c r="J390">
        <v>1.3919999999999999</v>
      </c>
      <c r="K390" s="5">
        <v>99</v>
      </c>
      <c r="L390" s="5">
        <v>886</v>
      </c>
      <c r="M390" s="6">
        <f t="shared" si="103"/>
        <v>8.9494949494949498</v>
      </c>
      <c r="N390" s="6">
        <v>0.91900000000000004</v>
      </c>
      <c r="O390" s="5">
        <v>99</v>
      </c>
      <c r="P390"/>
      <c r="Q390" s="5">
        <v>1702</v>
      </c>
      <c r="R390" s="6">
        <f t="shared" si="104"/>
        <v>17.02</v>
      </c>
      <c r="S390" s="6">
        <v>1.484</v>
      </c>
      <c r="T390" s="5">
        <v>100</v>
      </c>
      <c r="U390" s="5">
        <v>451</v>
      </c>
      <c r="V390" s="6">
        <f t="shared" si="105"/>
        <v>4.51</v>
      </c>
      <c r="W390" s="6">
        <v>0.57699999999999996</v>
      </c>
      <c r="X390" s="5">
        <v>100</v>
      </c>
      <c r="Z390" s="6">
        <f t="shared" si="106"/>
        <v>2.3927765237020315</v>
      </c>
      <c r="AA390" s="6">
        <f t="shared" si="107"/>
        <v>3.7738359201773837</v>
      </c>
      <c r="AB390" s="13">
        <f t="shared" si="114"/>
        <v>0.57717859682884998</v>
      </c>
      <c r="AC390" t="s">
        <v>53</v>
      </c>
      <c r="AE390" t="s">
        <v>812</v>
      </c>
      <c r="AF390" s="9">
        <v>0.3756944444444445</v>
      </c>
      <c r="AG390" s="9">
        <v>0.44444444444444442</v>
      </c>
      <c r="AH390" s="9">
        <f t="shared" si="115"/>
        <v>6.8749999999999922E-2</v>
      </c>
      <c r="AI390" s="9">
        <v>0.3756944444444445</v>
      </c>
      <c r="AJ390" s="9">
        <v>0.52083333333333337</v>
      </c>
      <c r="AK390" s="9">
        <f t="shared" si="116"/>
        <v>0.14513888888888887</v>
      </c>
      <c r="AM390" t="b">
        <v>1</v>
      </c>
    </row>
    <row r="391" spans="1:39" x14ac:dyDescent="0.3">
      <c r="A391" s="3" t="s">
        <v>807</v>
      </c>
      <c r="B391" t="s">
        <v>808</v>
      </c>
      <c r="C391" t="s">
        <v>29</v>
      </c>
      <c r="D391">
        <v>52</v>
      </c>
      <c r="E391" s="1">
        <v>25473</v>
      </c>
      <c r="F391" s="2">
        <v>44560.432592592595</v>
      </c>
      <c r="G391" t="s">
        <v>30</v>
      </c>
      <c r="H391">
        <v>2516</v>
      </c>
      <c r="I391" s="6">
        <f t="shared" si="102"/>
        <v>25.414141414141415</v>
      </c>
      <c r="J391">
        <v>5.085</v>
      </c>
      <c r="K391" s="5">
        <v>99</v>
      </c>
      <c r="L391" s="5">
        <v>1346</v>
      </c>
      <c r="M391" s="6">
        <f t="shared" si="103"/>
        <v>13.595959595959595</v>
      </c>
      <c r="N391" s="6">
        <v>3.92</v>
      </c>
      <c r="O391" s="5">
        <v>99</v>
      </c>
      <c r="P391"/>
      <c r="Q391" s="5">
        <v>1540</v>
      </c>
      <c r="R391" s="6">
        <f t="shared" si="104"/>
        <v>15.4</v>
      </c>
      <c r="S391" s="6">
        <v>3.895</v>
      </c>
      <c r="T391" s="5">
        <v>100</v>
      </c>
      <c r="U391" s="5">
        <v>511</v>
      </c>
      <c r="V391" s="6">
        <f t="shared" si="105"/>
        <v>5.1100000000000003</v>
      </c>
      <c r="W391" s="6">
        <v>2.169</v>
      </c>
      <c r="X391" s="5">
        <v>100</v>
      </c>
      <c r="Z391" s="6">
        <f t="shared" si="106"/>
        <v>1.8692421991084698</v>
      </c>
      <c r="AA391" s="6">
        <f t="shared" si="107"/>
        <v>3.0136986301369864</v>
      </c>
      <c r="AB391" s="13">
        <f t="shared" si="114"/>
        <v>0.61225689831652752</v>
      </c>
      <c r="AC391" t="s">
        <v>40</v>
      </c>
      <c r="AE391" t="s">
        <v>812</v>
      </c>
      <c r="AF391" s="9">
        <v>0.38472222222222219</v>
      </c>
      <c r="AG391" s="9">
        <v>0.4375</v>
      </c>
      <c r="AH391" s="9">
        <f t="shared" si="115"/>
        <v>5.2777777777777812E-2</v>
      </c>
      <c r="AI391" s="9">
        <v>0.38472222222222219</v>
      </c>
      <c r="AJ391" s="9">
        <v>0.53472222222222221</v>
      </c>
      <c r="AK391" s="9">
        <f t="shared" si="116"/>
        <v>0.15000000000000002</v>
      </c>
      <c r="AM391" t="b">
        <v>1</v>
      </c>
    </row>
    <row r="392" spans="1:39" x14ac:dyDescent="0.3">
      <c r="A392">
        <v>2461393</v>
      </c>
      <c r="B392" t="s">
        <v>809</v>
      </c>
      <c r="C392" t="s">
        <v>29</v>
      </c>
      <c r="D392">
        <v>63</v>
      </c>
      <c r="E392" s="1">
        <v>21539</v>
      </c>
      <c r="F392" s="2">
        <v>44561.440347222226</v>
      </c>
      <c r="G392" t="s">
        <v>30</v>
      </c>
      <c r="H392">
        <v>3104</v>
      </c>
      <c r="I392" s="6">
        <f t="shared" si="102"/>
        <v>31.353535353535353</v>
      </c>
      <c r="J392">
        <v>5.5830000000000002</v>
      </c>
      <c r="K392" s="5">
        <v>99</v>
      </c>
      <c r="L392" s="5">
        <v>1542</v>
      </c>
      <c r="M392" s="6">
        <f t="shared" si="103"/>
        <v>15.575757575757576</v>
      </c>
      <c r="N392" s="6">
        <v>3.8860000000000001</v>
      </c>
      <c r="O392" s="5">
        <v>99</v>
      </c>
      <c r="P392"/>
      <c r="Q392" s="5">
        <v>2245</v>
      </c>
      <c r="R392" s="6">
        <f t="shared" si="104"/>
        <v>22.45</v>
      </c>
      <c r="S392" s="6">
        <v>4.6109999999999998</v>
      </c>
      <c r="T392" s="5">
        <v>100</v>
      </c>
      <c r="U392" s="5">
        <v>658</v>
      </c>
      <c r="V392" s="6">
        <f t="shared" si="105"/>
        <v>6.58</v>
      </c>
      <c r="W392" s="7">
        <v>2.4169999999999998</v>
      </c>
      <c r="X392" s="5">
        <v>100</v>
      </c>
      <c r="Z392" s="6">
        <f t="shared" si="106"/>
        <v>2.0129701686121919</v>
      </c>
      <c r="AA392" s="6">
        <f t="shared" si="107"/>
        <v>3.4118541033434648</v>
      </c>
      <c r="AB392" s="13">
        <f t="shared" si="114"/>
        <v>0.69493525365838371</v>
      </c>
      <c r="AC392" t="s">
        <v>40</v>
      </c>
      <c r="AE392" t="s">
        <v>812</v>
      </c>
      <c r="AF392" s="9">
        <v>0.375</v>
      </c>
      <c r="AG392" s="9">
        <v>0.44444444444444442</v>
      </c>
      <c r="AH392" s="9">
        <f t="shared" si="115"/>
        <v>6.944444444444442E-2</v>
      </c>
      <c r="AI392" s="9">
        <v>0.375</v>
      </c>
      <c r="AJ392" s="9">
        <v>0.52083333333333337</v>
      </c>
      <c r="AK392" s="9">
        <f t="shared" si="116"/>
        <v>0.14583333333333337</v>
      </c>
      <c r="AM392" t="b">
        <v>1</v>
      </c>
    </row>
    <row r="393" spans="1:39" x14ac:dyDescent="0.3">
      <c r="A393">
        <v>2773919</v>
      </c>
      <c r="B393" t="s">
        <v>810</v>
      </c>
      <c r="C393" t="s">
        <v>52</v>
      </c>
      <c r="D393">
        <v>58</v>
      </c>
      <c r="E393" s="1">
        <v>23037</v>
      </c>
      <c r="F393" s="2">
        <v>44561.423298611109</v>
      </c>
      <c r="G393" t="s">
        <v>30</v>
      </c>
      <c r="H393">
        <v>2084</v>
      </c>
      <c r="I393" s="6">
        <f>H393/K393</f>
        <v>21.050505050505052</v>
      </c>
      <c r="J393">
        <v>5.24</v>
      </c>
      <c r="K393" s="5">
        <v>99</v>
      </c>
      <c r="L393" s="5">
        <v>845</v>
      </c>
      <c r="M393" s="6">
        <f t="shared" si="103"/>
        <v>8.5353535353535346</v>
      </c>
      <c r="N393" s="6">
        <v>3.1949999999999998</v>
      </c>
      <c r="O393" s="5">
        <v>99</v>
      </c>
      <c r="P393"/>
      <c r="Q393" s="5">
        <v>1367</v>
      </c>
      <c r="R393" s="6">
        <f t="shared" si="104"/>
        <v>13.808080808080808</v>
      </c>
      <c r="S393" s="6">
        <v>4.0720000000000001</v>
      </c>
      <c r="T393" s="5">
        <v>99</v>
      </c>
      <c r="U393" s="5">
        <v>249</v>
      </c>
      <c r="V393" s="6">
        <f t="shared" si="105"/>
        <v>2.5151515151515151</v>
      </c>
      <c r="W393" s="7">
        <v>1.4019999999999999</v>
      </c>
      <c r="X393" s="5">
        <v>99</v>
      </c>
      <c r="Z393" s="6">
        <f t="shared" si="106"/>
        <v>2.4662721893491129</v>
      </c>
      <c r="AA393" s="6">
        <f t="shared" si="107"/>
        <v>5.4899598393574296</v>
      </c>
      <c r="AB393" s="13">
        <f t="shared" si="114"/>
        <v>1.2260153859198788</v>
      </c>
      <c r="AC393" t="s">
        <v>811</v>
      </c>
      <c r="AE393" t="s">
        <v>813</v>
      </c>
      <c r="AF393" s="9">
        <v>0.375</v>
      </c>
      <c r="AG393" s="9">
        <v>0.4236111111111111</v>
      </c>
      <c r="AH393" s="9">
        <f t="shared" si="115"/>
        <v>4.8611111111111105E-2</v>
      </c>
      <c r="AI393" s="9">
        <v>0.375</v>
      </c>
      <c r="AJ393" s="9">
        <v>0.52083333333333337</v>
      </c>
      <c r="AK393" s="9">
        <f t="shared" si="116"/>
        <v>0.14583333333333337</v>
      </c>
      <c r="AM393" t="b">
        <v>1</v>
      </c>
    </row>
    <row r="394" spans="1:39" x14ac:dyDescent="0.3">
      <c r="A394" s="3">
        <v>2693866</v>
      </c>
      <c r="B394" t="s">
        <v>816</v>
      </c>
      <c r="C394" t="s">
        <v>29</v>
      </c>
      <c r="D394">
        <v>40</v>
      </c>
      <c r="E394" s="1">
        <v>29926</v>
      </c>
      <c r="F394" s="2">
        <v>44565.42763888889</v>
      </c>
      <c r="G394" t="s">
        <v>30</v>
      </c>
      <c r="H394">
        <v>1802</v>
      </c>
      <c r="I394" s="17">
        <f t="shared" si="102"/>
        <v>18.202020202020201</v>
      </c>
      <c r="J394">
        <v>4.3419999999999996</v>
      </c>
      <c r="K394" s="5">
        <v>99</v>
      </c>
      <c r="L394" s="5">
        <v>1104</v>
      </c>
      <c r="M394" s="6">
        <f t="shared" si="103"/>
        <v>11.151515151515152</v>
      </c>
      <c r="N394" s="6">
        <v>3.512</v>
      </c>
      <c r="O394" s="5">
        <v>99</v>
      </c>
      <c r="P394"/>
      <c r="Q394" s="5">
        <v>965</v>
      </c>
      <c r="R394" s="6">
        <f t="shared" si="104"/>
        <v>9.65</v>
      </c>
      <c r="S394" s="6">
        <v>3.2730000000000001</v>
      </c>
      <c r="T394" s="5">
        <v>100</v>
      </c>
      <c r="U394" s="5">
        <v>336</v>
      </c>
      <c r="V394" s="6">
        <f t="shared" si="105"/>
        <v>3.36</v>
      </c>
      <c r="W394" s="6">
        <v>1.611</v>
      </c>
      <c r="X394" s="5">
        <v>100</v>
      </c>
      <c r="Z394" s="6">
        <f t="shared" si="106"/>
        <v>1.632246376811594</v>
      </c>
      <c r="AA394" s="6">
        <f t="shared" si="107"/>
        <v>2.8720238095238098</v>
      </c>
      <c r="AB394" s="13">
        <f t="shared" ref="AB394:AB413" si="117">(AA394-Z394)/Z394</f>
        <v>0.7595528777548759</v>
      </c>
      <c r="AC394" t="s">
        <v>40</v>
      </c>
      <c r="AE394" t="s">
        <v>840</v>
      </c>
      <c r="AF394" s="9">
        <v>0.39861111111111108</v>
      </c>
      <c r="AG394" s="9">
        <v>0.44444444444444442</v>
      </c>
      <c r="AH394" s="9">
        <f t="shared" si="115"/>
        <v>4.5833333333333337E-2</v>
      </c>
      <c r="AI394" s="9">
        <v>0.39861111111111108</v>
      </c>
      <c r="AJ394" s="9">
        <v>0.54305555555555551</v>
      </c>
      <c r="AK394" s="9">
        <f t="shared" si="116"/>
        <v>0.14444444444444443</v>
      </c>
      <c r="AM394" t="b">
        <v>1</v>
      </c>
    </row>
    <row r="395" spans="1:39" x14ac:dyDescent="0.3">
      <c r="A395" s="3">
        <v>2017497</v>
      </c>
      <c r="B395" t="s">
        <v>817</v>
      </c>
      <c r="C395" t="s">
        <v>29</v>
      </c>
      <c r="D395">
        <v>49</v>
      </c>
      <c r="E395" s="1">
        <v>26444</v>
      </c>
      <c r="F395" s="2">
        <v>44565.386377314811</v>
      </c>
      <c r="G395" t="s">
        <v>30</v>
      </c>
      <c r="H395">
        <v>2010</v>
      </c>
      <c r="I395" s="17">
        <f t="shared" si="102"/>
        <v>20.100000000000001</v>
      </c>
      <c r="J395">
        <v>1.21</v>
      </c>
      <c r="K395" s="5">
        <v>100</v>
      </c>
      <c r="L395" s="5">
        <v>1217</v>
      </c>
      <c r="M395" s="6">
        <f t="shared" si="103"/>
        <v>12.17</v>
      </c>
      <c r="N395" s="6">
        <v>1.0549999999999999</v>
      </c>
      <c r="O395" s="5">
        <v>100</v>
      </c>
      <c r="P395"/>
      <c r="Q395" s="5">
        <v>1304</v>
      </c>
      <c r="R395" s="6">
        <f t="shared" si="104"/>
        <v>13.04</v>
      </c>
      <c r="S395" s="6">
        <v>1.2709999999999999</v>
      </c>
      <c r="T395" s="5">
        <v>100</v>
      </c>
      <c r="U395" s="5">
        <v>500</v>
      </c>
      <c r="V395" s="6">
        <f t="shared" si="105"/>
        <v>5</v>
      </c>
      <c r="W395" s="6">
        <v>0.80400000000000005</v>
      </c>
      <c r="X395" s="5">
        <v>100</v>
      </c>
      <c r="Z395" s="6">
        <f t="shared" si="106"/>
        <v>1.6516023007395235</v>
      </c>
      <c r="AA395" s="6">
        <f t="shared" si="107"/>
        <v>2.6079999999999997</v>
      </c>
      <c r="AB395" s="13">
        <f t="shared" si="117"/>
        <v>0.57907263681592014</v>
      </c>
      <c r="AC395" t="s">
        <v>53</v>
      </c>
      <c r="AE395" t="s">
        <v>840</v>
      </c>
      <c r="AF395" s="9">
        <v>0.38472222222222219</v>
      </c>
      <c r="AG395" s="9">
        <v>0.4375</v>
      </c>
      <c r="AH395" s="9">
        <f t="shared" si="115"/>
        <v>5.2777777777777812E-2</v>
      </c>
      <c r="AI395" s="9">
        <v>0.38472222222222219</v>
      </c>
      <c r="AJ395" s="9">
        <v>0.52083333333333337</v>
      </c>
      <c r="AK395" s="9">
        <f t="shared" si="116"/>
        <v>0.13611111111111118</v>
      </c>
      <c r="AM395" t="b">
        <v>1</v>
      </c>
    </row>
    <row r="396" spans="1:39" x14ac:dyDescent="0.3">
      <c r="A396" s="3">
        <v>1743000</v>
      </c>
      <c r="B396" t="s">
        <v>818</v>
      </c>
      <c r="C396" t="s">
        <v>29</v>
      </c>
      <c r="D396">
        <v>59</v>
      </c>
      <c r="E396" s="1">
        <v>22877</v>
      </c>
      <c r="F396" s="2">
        <v>44566.44158564815</v>
      </c>
      <c r="G396" t="s">
        <v>30</v>
      </c>
      <c r="H396">
        <v>1797</v>
      </c>
      <c r="I396" s="17">
        <f t="shared" si="102"/>
        <v>17.97</v>
      </c>
      <c r="J396">
        <v>4.734</v>
      </c>
      <c r="K396" s="5">
        <v>100</v>
      </c>
      <c r="L396" s="5">
        <v>774</v>
      </c>
      <c r="M396" s="6">
        <f t="shared" si="103"/>
        <v>7.74</v>
      </c>
      <c r="N396" s="6">
        <v>2.8730000000000002</v>
      </c>
      <c r="O396" s="5">
        <v>100</v>
      </c>
      <c r="P396"/>
      <c r="Q396" s="5">
        <v>1299</v>
      </c>
      <c r="R396" s="6">
        <f t="shared" si="104"/>
        <v>12.99</v>
      </c>
      <c r="S396" s="6">
        <v>4.2220000000000004</v>
      </c>
      <c r="T396" s="5">
        <v>100</v>
      </c>
      <c r="U396" s="5">
        <v>365</v>
      </c>
      <c r="V396" s="6">
        <f t="shared" si="105"/>
        <v>3.65</v>
      </c>
      <c r="W396" s="6">
        <v>1.8819999999999999</v>
      </c>
      <c r="X396" s="5">
        <v>100</v>
      </c>
      <c r="Z396" s="6">
        <f t="shared" si="106"/>
        <v>2.3217054263565888</v>
      </c>
      <c r="AA396" s="6">
        <f t="shared" si="107"/>
        <v>3.558904109589041</v>
      </c>
      <c r="AB396" s="13">
        <f t="shared" si="117"/>
        <v>0.53288357307841849</v>
      </c>
      <c r="AC396" t="s">
        <v>31</v>
      </c>
      <c r="AE396" t="s">
        <v>841</v>
      </c>
      <c r="AF396" s="9">
        <v>0.37361111111111112</v>
      </c>
      <c r="AG396" s="9">
        <v>0.44444444444444442</v>
      </c>
      <c r="AH396" s="9">
        <f t="shared" si="115"/>
        <v>7.0833333333333304E-2</v>
      </c>
      <c r="AI396" s="9">
        <v>0.37361111111111112</v>
      </c>
      <c r="AJ396" s="9">
        <v>0.52083333333333337</v>
      </c>
      <c r="AK396" s="9">
        <f t="shared" si="116"/>
        <v>0.14722222222222225</v>
      </c>
      <c r="AM396" t="b">
        <v>1</v>
      </c>
    </row>
    <row r="397" spans="1:39" x14ac:dyDescent="0.3">
      <c r="A397" s="3">
        <v>2620617</v>
      </c>
      <c r="B397" t="s">
        <v>819</v>
      </c>
      <c r="C397" t="s">
        <v>52</v>
      </c>
      <c r="D397">
        <v>72</v>
      </c>
      <c r="E397" s="1">
        <v>18064</v>
      </c>
      <c r="F397" s="2">
        <v>44566.42046296296</v>
      </c>
      <c r="G397" t="s">
        <v>30</v>
      </c>
      <c r="H397">
        <v>2082</v>
      </c>
      <c r="I397" s="17">
        <f t="shared" si="102"/>
        <v>20.82</v>
      </c>
      <c r="J397">
        <v>4.9219999999999997</v>
      </c>
      <c r="K397" s="5">
        <v>100</v>
      </c>
      <c r="L397" s="5">
        <v>1092</v>
      </c>
      <c r="M397" s="6">
        <f t="shared" si="103"/>
        <v>10.92</v>
      </c>
      <c r="N397" s="6">
        <v>3.3570000000000002</v>
      </c>
      <c r="O397" s="5">
        <v>100</v>
      </c>
      <c r="P397"/>
      <c r="Q397" s="5">
        <v>1534</v>
      </c>
      <c r="R397" s="6">
        <f t="shared" si="104"/>
        <v>15.34</v>
      </c>
      <c r="S397" s="6">
        <v>3.6989999999999998</v>
      </c>
      <c r="T397" s="5">
        <v>100</v>
      </c>
      <c r="U397" s="5">
        <v>579</v>
      </c>
      <c r="V397" s="6">
        <f t="shared" si="105"/>
        <v>5.79</v>
      </c>
      <c r="W397" s="7">
        <v>2.5830000000000002</v>
      </c>
      <c r="X397" s="5">
        <v>100</v>
      </c>
      <c r="Z397" s="6">
        <f t="shared" si="106"/>
        <v>1.9065934065934067</v>
      </c>
      <c r="AA397" s="6">
        <f t="shared" si="107"/>
        <v>2.6493955094991364</v>
      </c>
      <c r="AB397" s="13">
        <f t="shared" si="117"/>
        <v>0.38959649201395619</v>
      </c>
      <c r="AC397" t="s">
        <v>40</v>
      </c>
      <c r="AE397" t="s">
        <v>841</v>
      </c>
      <c r="AF397" s="9">
        <v>0.37986111111111115</v>
      </c>
      <c r="AG397" s="9">
        <v>0.44444444444444442</v>
      </c>
      <c r="AH397" s="9">
        <f t="shared" si="115"/>
        <v>6.458333333333327E-2</v>
      </c>
      <c r="AI397" s="9">
        <v>0.37986111111111115</v>
      </c>
      <c r="AJ397" s="9">
        <v>0.51944444444444449</v>
      </c>
      <c r="AK397" s="9">
        <f t="shared" si="116"/>
        <v>0.13958333333333334</v>
      </c>
      <c r="AM397" t="b">
        <v>1</v>
      </c>
    </row>
    <row r="398" spans="1:39" x14ac:dyDescent="0.3">
      <c r="A398" s="3">
        <v>1249393</v>
      </c>
      <c r="B398" t="s">
        <v>820</v>
      </c>
      <c r="C398" t="s">
        <v>29</v>
      </c>
      <c r="D398">
        <v>55</v>
      </c>
      <c r="E398" s="1">
        <v>24222</v>
      </c>
      <c r="F398" s="2">
        <v>44568.442106481481</v>
      </c>
      <c r="G398" t="s">
        <v>30</v>
      </c>
      <c r="H398">
        <v>2060</v>
      </c>
      <c r="I398" s="17">
        <f t="shared" si="102"/>
        <v>20.6</v>
      </c>
      <c r="J398" s="6">
        <v>4.7610000000000001</v>
      </c>
      <c r="K398" s="5">
        <v>100</v>
      </c>
      <c r="L398" s="5">
        <v>871</v>
      </c>
      <c r="M398" s="6">
        <f t="shared" si="103"/>
        <v>8.7100000000000009</v>
      </c>
      <c r="N398" s="6">
        <v>3.0630000000000002</v>
      </c>
      <c r="O398" s="5">
        <v>100</v>
      </c>
      <c r="P398"/>
      <c r="Q398" s="5">
        <v>1338</v>
      </c>
      <c r="R398" s="6">
        <f t="shared" si="104"/>
        <v>13.515151515151516</v>
      </c>
      <c r="S398" s="6">
        <v>3.7909999999999999</v>
      </c>
      <c r="T398" s="5">
        <v>99</v>
      </c>
      <c r="U398" s="5">
        <v>281</v>
      </c>
      <c r="V398" s="6">
        <f t="shared" si="105"/>
        <v>2.8383838383838382</v>
      </c>
      <c r="W398" s="7">
        <v>1.8560000000000001</v>
      </c>
      <c r="X398" s="5">
        <v>99</v>
      </c>
      <c r="Z398" s="6">
        <f t="shared" si="106"/>
        <v>2.3650975889781858</v>
      </c>
      <c r="AA398" s="6">
        <f t="shared" si="107"/>
        <v>4.7615658362989324</v>
      </c>
      <c r="AB398" s="13">
        <f t="shared" si="117"/>
        <v>1.0132640016584322</v>
      </c>
      <c r="AC398" t="s">
        <v>31</v>
      </c>
      <c r="AE398" t="s">
        <v>840</v>
      </c>
      <c r="AF398" s="9">
        <v>0.39930555555555558</v>
      </c>
      <c r="AG398" s="9">
        <v>0.44444444444444442</v>
      </c>
      <c r="AH398" s="9">
        <f t="shared" si="115"/>
        <v>4.513888888888884E-2</v>
      </c>
      <c r="AI398" s="9">
        <v>0.39930555555555558</v>
      </c>
      <c r="AJ398" s="9">
        <v>0.53472222222222221</v>
      </c>
      <c r="AK398" s="9">
        <f t="shared" si="116"/>
        <v>0.13541666666666663</v>
      </c>
      <c r="AM398" t="b">
        <v>1</v>
      </c>
    </row>
    <row r="399" spans="1:39" x14ac:dyDescent="0.3">
      <c r="A399" s="3">
        <v>2544601</v>
      </c>
      <c r="B399" t="s">
        <v>821</v>
      </c>
      <c r="C399" t="s">
        <v>29</v>
      </c>
      <c r="D399">
        <v>44</v>
      </c>
      <c r="E399" s="1">
        <v>28258</v>
      </c>
      <c r="F399" s="2">
        <v>44571.442013888889</v>
      </c>
      <c r="G399" t="s">
        <v>30</v>
      </c>
      <c r="H399">
        <v>1599</v>
      </c>
      <c r="I399" s="17">
        <f t="shared" ref="I399:I419" si="118">H399/K399</f>
        <v>16.151515151515152</v>
      </c>
      <c r="J399">
        <v>4.452</v>
      </c>
      <c r="K399" s="5">
        <v>99</v>
      </c>
      <c r="L399" s="5">
        <v>806</v>
      </c>
      <c r="M399" s="6">
        <f t="shared" ref="M399:M419" si="119">L399/O399</f>
        <v>8.1414141414141419</v>
      </c>
      <c r="N399" s="6">
        <v>3.077</v>
      </c>
      <c r="O399" s="5">
        <v>99</v>
      </c>
      <c r="P399"/>
      <c r="Q399" s="5">
        <v>983</v>
      </c>
      <c r="R399" s="6">
        <f t="shared" ref="R399:R419" si="120">Q399/T399</f>
        <v>9.83</v>
      </c>
      <c r="S399" s="6">
        <v>2.923</v>
      </c>
      <c r="T399" s="5">
        <v>100</v>
      </c>
      <c r="U399" s="5">
        <v>334</v>
      </c>
      <c r="V399" s="6">
        <f t="shared" ref="V399:V419" si="121">U399/X399</f>
        <v>3.34</v>
      </c>
      <c r="W399" s="7">
        <v>1.9339999999999999</v>
      </c>
      <c r="X399" s="5">
        <v>100</v>
      </c>
      <c r="Z399" s="6">
        <f t="shared" ref="Z399:Z419" si="122">I399/M399</f>
        <v>1.9838709677419355</v>
      </c>
      <c r="AA399" s="6">
        <f t="shared" ref="AA399:AA419" si="123">R399/V399</f>
        <v>2.94311377245509</v>
      </c>
      <c r="AB399" s="13">
        <f t="shared" si="117"/>
        <v>0.48352076335134614</v>
      </c>
      <c r="AC399" t="s">
        <v>31</v>
      </c>
      <c r="AE399" t="s">
        <v>840</v>
      </c>
      <c r="AF399" s="9">
        <v>0.37847222222222227</v>
      </c>
      <c r="AG399" s="9">
        <v>0.44444444444444442</v>
      </c>
      <c r="AH399" s="9">
        <f t="shared" si="115"/>
        <v>6.5972222222222154E-2</v>
      </c>
      <c r="AI399" s="9">
        <v>0.37847222222222227</v>
      </c>
      <c r="AJ399" s="9">
        <v>0.52083333333333337</v>
      </c>
      <c r="AK399" s="9">
        <f t="shared" si="116"/>
        <v>0.1423611111111111</v>
      </c>
      <c r="AM399" t="b">
        <v>1</v>
      </c>
    </row>
    <row r="400" spans="1:39" x14ac:dyDescent="0.3">
      <c r="A400" s="3">
        <v>2573546</v>
      </c>
      <c r="B400" t="s">
        <v>822</v>
      </c>
      <c r="C400" t="s">
        <v>29</v>
      </c>
      <c r="D400">
        <v>56</v>
      </c>
      <c r="E400" s="1">
        <v>23901</v>
      </c>
      <c r="F400" s="2">
        <v>44572.440671296295</v>
      </c>
      <c r="G400" t="s">
        <v>30</v>
      </c>
      <c r="H400">
        <v>3136</v>
      </c>
      <c r="I400" s="17">
        <f t="shared" si="118"/>
        <v>31.676767676767678</v>
      </c>
      <c r="J400" s="6">
        <v>5.6959999999999997</v>
      </c>
      <c r="K400" s="5">
        <v>99</v>
      </c>
      <c r="L400" s="5">
        <v>1455</v>
      </c>
      <c r="M400" s="6">
        <f t="shared" si="119"/>
        <v>14.696969696969697</v>
      </c>
      <c r="N400" s="6">
        <v>3.7570000000000001</v>
      </c>
      <c r="O400" s="5">
        <v>99</v>
      </c>
      <c r="P400"/>
      <c r="Q400" s="5">
        <v>2463</v>
      </c>
      <c r="R400" s="6">
        <f t="shared" si="120"/>
        <v>24.878787878787879</v>
      </c>
      <c r="S400" s="6">
        <v>5.5039999999999996</v>
      </c>
      <c r="T400" s="5">
        <v>99</v>
      </c>
      <c r="U400" s="5">
        <v>458</v>
      </c>
      <c r="V400" s="6">
        <f t="shared" si="121"/>
        <v>4.6262626262626263</v>
      </c>
      <c r="W400" s="6">
        <v>2.2250000000000001</v>
      </c>
      <c r="X400" s="5">
        <v>99</v>
      </c>
      <c r="Z400" s="6">
        <f t="shared" si="122"/>
        <v>2.1553264604810995</v>
      </c>
      <c r="AA400" s="6">
        <f t="shared" si="123"/>
        <v>5.3777292576419216</v>
      </c>
      <c r="AB400" s="13">
        <f t="shared" si="117"/>
        <v>1.4950880324837361</v>
      </c>
      <c r="AC400" t="s">
        <v>40</v>
      </c>
      <c r="AE400" t="s">
        <v>840</v>
      </c>
      <c r="AF400" s="9">
        <v>0.39999999999999997</v>
      </c>
      <c r="AG400" s="9">
        <v>0.44444444444444442</v>
      </c>
      <c r="AH400" s="9">
        <f t="shared" si="115"/>
        <v>4.4444444444444453E-2</v>
      </c>
      <c r="AI400" s="9">
        <v>0.39999999999999997</v>
      </c>
      <c r="AJ400" s="9">
        <v>0.53472222222222221</v>
      </c>
      <c r="AK400" s="9">
        <f t="shared" si="116"/>
        <v>0.13472222222222224</v>
      </c>
      <c r="AM400" t="b">
        <v>1</v>
      </c>
    </row>
    <row r="401" spans="1:39" x14ac:dyDescent="0.3">
      <c r="A401" s="3">
        <v>2000278</v>
      </c>
      <c r="B401" t="s">
        <v>823</v>
      </c>
      <c r="C401" t="s">
        <v>52</v>
      </c>
      <c r="D401">
        <v>61</v>
      </c>
      <c r="E401" s="1">
        <v>22086</v>
      </c>
      <c r="F401" s="2">
        <v>44572.4375</v>
      </c>
      <c r="G401" t="s">
        <v>30</v>
      </c>
      <c r="H401">
        <v>2009</v>
      </c>
      <c r="I401" s="17">
        <f t="shared" si="118"/>
        <v>20.09</v>
      </c>
      <c r="J401" s="6">
        <v>1.615</v>
      </c>
      <c r="K401" s="5">
        <v>100</v>
      </c>
      <c r="L401" s="5">
        <v>1096</v>
      </c>
      <c r="M401" s="6">
        <f t="shared" si="119"/>
        <v>10.96</v>
      </c>
      <c r="N401" s="6">
        <v>1.55</v>
      </c>
      <c r="O401" s="5">
        <v>100</v>
      </c>
      <c r="P401"/>
      <c r="Q401" s="5">
        <v>1171</v>
      </c>
      <c r="R401" s="6">
        <f t="shared" si="120"/>
        <v>11.71</v>
      </c>
      <c r="S401" s="6">
        <v>1.38</v>
      </c>
      <c r="T401" s="5">
        <v>100</v>
      </c>
      <c r="U401" s="5">
        <v>383</v>
      </c>
      <c r="V401" s="6">
        <f t="shared" si="121"/>
        <v>3.83</v>
      </c>
      <c r="W401" s="6">
        <v>0.85299999999999998</v>
      </c>
      <c r="X401" s="5">
        <v>100</v>
      </c>
      <c r="Z401" s="6">
        <f t="shared" si="122"/>
        <v>1.8330291970802919</v>
      </c>
      <c r="AA401" s="6">
        <f t="shared" si="123"/>
        <v>3.0574412532637076</v>
      </c>
      <c r="AB401" s="13">
        <f t="shared" si="117"/>
        <v>0.66797193308960867</v>
      </c>
      <c r="AC401" t="s">
        <v>824</v>
      </c>
      <c r="AE401" t="s">
        <v>841</v>
      </c>
      <c r="AF401" s="9">
        <v>0.39305555555555555</v>
      </c>
      <c r="AG401" s="9">
        <v>0.4375</v>
      </c>
      <c r="AH401" s="9">
        <f t="shared" si="115"/>
        <v>4.4444444444444453E-2</v>
      </c>
      <c r="AI401" s="9">
        <v>0.39305555555555555</v>
      </c>
      <c r="AJ401" s="9">
        <v>0.52083333333333337</v>
      </c>
      <c r="AK401" s="9">
        <f t="shared" si="116"/>
        <v>0.12777777777777782</v>
      </c>
      <c r="AM401" t="b">
        <v>1</v>
      </c>
    </row>
    <row r="402" spans="1:39" x14ac:dyDescent="0.3">
      <c r="A402" s="3">
        <v>1575124</v>
      </c>
      <c r="B402" t="s">
        <v>825</v>
      </c>
      <c r="C402" t="s">
        <v>29</v>
      </c>
      <c r="D402">
        <v>49</v>
      </c>
      <c r="E402" s="1">
        <v>26358</v>
      </c>
      <c r="F402" s="2">
        <v>44575.437650462962</v>
      </c>
      <c r="G402" t="s">
        <v>30</v>
      </c>
      <c r="H402">
        <v>2840</v>
      </c>
      <c r="I402" s="17">
        <f t="shared" si="118"/>
        <v>28.686868686868689</v>
      </c>
      <c r="J402">
        <v>5.8929999999999998</v>
      </c>
      <c r="K402">
        <v>99</v>
      </c>
      <c r="L402" s="5">
        <v>967</v>
      </c>
      <c r="M402" s="6">
        <f t="shared" si="119"/>
        <v>9.7676767676767682</v>
      </c>
      <c r="N402" s="6">
        <v>3.2509999999999999</v>
      </c>
      <c r="O402" s="5">
        <v>99</v>
      </c>
      <c r="P402"/>
      <c r="Q402" s="5">
        <v>1856</v>
      </c>
      <c r="R402" s="6">
        <f t="shared" si="120"/>
        <v>18.747474747474747</v>
      </c>
      <c r="S402" s="6">
        <v>4.8540000000000001</v>
      </c>
      <c r="T402" s="5">
        <v>99</v>
      </c>
      <c r="U402" s="5">
        <v>408</v>
      </c>
      <c r="V402" s="6">
        <f t="shared" si="121"/>
        <v>4.1212121212121211</v>
      </c>
      <c r="W402" s="6">
        <v>2.012</v>
      </c>
      <c r="X402" s="5">
        <v>99</v>
      </c>
      <c r="Z402" s="6">
        <f t="shared" si="122"/>
        <v>2.936918304033092</v>
      </c>
      <c r="AA402" s="6">
        <f t="shared" si="123"/>
        <v>4.5490196078431371</v>
      </c>
      <c r="AB402" s="13">
        <f t="shared" si="117"/>
        <v>0.54890914112123723</v>
      </c>
      <c r="AC402" t="s">
        <v>40</v>
      </c>
      <c r="AE402" t="s">
        <v>840</v>
      </c>
      <c r="AF402" s="9">
        <v>0.38055555555555554</v>
      </c>
      <c r="AG402" s="9">
        <v>0.44444444444444442</v>
      </c>
      <c r="AH402" s="9">
        <f t="shared" si="115"/>
        <v>6.3888888888888884E-2</v>
      </c>
      <c r="AI402" s="9">
        <v>0.38055555555555554</v>
      </c>
      <c r="AJ402" s="9">
        <v>0.52847222222222223</v>
      </c>
      <c r="AK402" s="9">
        <f t="shared" si="116"/>
        <v>0.1479166666666667</v>
      </c>
      <c r="AM402" t="b">
        <v>1</v>
      </c>
    </row>
    <row r="403" spans="1:39" x14ac:dyDescent="0.3">
      <c r="A403" s="3" t="s">
        <v>826</v>
      </c>
      <c r="B403" t="s">
        <v>827</v>
      </c>
      <c r="C403" t="s">
        <v>29</v>
      </c>
      <c r="D403">
        <v>48</v>
      </c>
      <c r="E403" s="1">
        <v>27012</v>
      </c>
      <c r="F403" s="2">
        <v>44575.427974537037</v>
      </c>
      <c r="G403" t="s">
        <v>30</v>
      </c>
      <c r="H403">
        <v>2081</v>
      </c>
      <c r="I403" s="17">
        <f t="shared" si="118"/>
        <v>20.81</v>
      </c>
      <c r="J403">
        <v>5.0629999999999997</v>
      </c>
      <c r="K403">
        <v>100</v>
      </c>
      <c r="L403" s="5">
        <v>1401</v>
      </c>
      <c r="M403" s="6">
        <f t="shared" si="119"/>
        <v>14.01</v>
      </c>
      <c r="N403" s="6">
        <v>3.863</v>
      </c>
      <c r="O403" s="5">
        <v>100</v>
      </c>
      <c r="P403"/>
      <c r="Q403" s="5">
        <v>1353</v>
      </c>
      <c r="R403" s="6">
        <f t="shared" si="120"/>
        <v>13.53</v>
      </c>
      <c r="S403" s="6">
        <v>3.4239999999999999</v>
      </c>
      <c r="T403" s="5">
        <v>100</v>
      </c>
      <c r="U403" s="5">
        <v>508</v>
      </c>
      <c r="V403" s="6">
        <f t="shared" si="121"/>
        <v>5.08</v>
      </c>
      <c r="W403" s="7">
        <v>2.2280000000000002</v>
      </c>
      <c r="X403" s="5">
        <v>100</v>
      </c>
      <c r="Z403" s="6">
        <f t="shared" si="122"/>
        <v>1.4853675945753033</v>
      </c>
      <c r="AA403" s="6">
        <f t="shared" si="123"/>
        <v>2.6633858267716533</v>
      </c>
      <c r="AB403" s="13">
        <f t="shared" si="117"/>
        <v>0.7930819525742846</v>
      </c>
      <c r="AC403" t="s">
        <v>40</v>
      </c>
      <c r="AE403" t="s">
        <v>840</v>
      </c>
      <c r="AF403" s="9">
        <v>0.375</v>
      </c>
      <c r="AG403" s="9">
        <v>0.43055555555555558</v>
      </c>
      <c r="AH403" s="9">
        <f t="shared" si="115"/>
        <v>5.555555555555558E-2</v>
      </c>
      <c r="AI403" s="9">
        <v>0.375</v>
      </c>
      <c r="AJ403" s="9">
        <v>0.51944444444444449</v>
      </c>
      <c r="AK403" s="9">
        <f t="shared" si="116"/>
        <v>0.14444444444444449</v>
      </c>
      <c r="AM403" t="b">
        <v>1</v>
      </c>
    </row>
    <row r="404" spans="1:39" x14ac:dyDescent="0.3">
      <c r="A404">
        <v>2725429</v>
      </c>
      <c r="B404" t="s">
        <v>828</v>
      </c>
      <c r="C404" t="s">
        <v>29</v>
      </c>
      <c r="D404">
        <v>60</v>
      </c>
      <c r="E404" s="1">
        <v>22531</v>
      </c>
      <c r="F404" s="2">
        <v>44578.431435185186</v>
      </c>
      <c r="G404" t="s">
        <v>30</v>
      </c>
      <c r="H404">
        <v>2701</v>
      </c>
      <c r="I404" s="17">
        <f t="shared" si="118"/>
        <v>27.282828282828284</v>
      </c>
      <c r="J404">
        <v>5.3070000000000004</v>
      </c>
      <c r="K404">
        <v>99</v>
      </c>
      <c r="L404" s="5">
        <v>1291</v>
      </c>
      <c r="M404" s="6">
        <f t="shared" si="119"/>
        <v>13.04040404040404</v>
      </c>
      <c r="N404" s="6">
        <v>3.2389999999999999</v>
      </c>
      <c r="O404" s="5">
        <v>99</v>
      </c>
      <c r="P404"/>
      <c r="Q404" s="5">
        <v>1643</v>
      </c>
      <c r="R404" s="6">
        <f t="shared" si="120"/>
        <v>16.595959595959595</v>
      </c>
      <c r="S404" s="6">
        <v>4.6550000000000002</v>
      </c>
      <c r="T404" s="5">
        <v>99</v>
      </c>
      <c r="U404" s="5">
        <v>435</v>
      </c>
      <c r="V404" s="6">
        <f t="shared" si="121"/>
        <v>4.3939393939393936</v>
      </c>
      <c r="W404" s="7">
        <v>2.0139999999999998</v>
      </c>
      <c r="X404" s="5">
        <v>99</v>
      </c>
      <c r="Z404" s="6">
        <f t="shared" si="122"/>
        <v>2.0921766072811776</v>
      </c>
      <c r="AA404" s="6">
        <f t="shared" si="123"/>
        <v>3.7770114942528736</v>
      </c>
      <c r="AB404" s="13">
        <f t="shared" si="117"/>
        <v>0.8053024209849905</v>
      </c>
      <c r="AC404" t="s">
        <v>40</v>
      </c>
      <c r="AE404" t="s">
        <v>840</v>
      </c>
      <c r="AF404" s="9">
        <v>0.3756944444444445</v>
      </c>
      <c r="AG404" s="9">
        <v>0.44444444444444442</v>
      </c>
      <c r="AH404" s="9">
        <f t="shared" si="115"/>
        <v>6.8749999999999922E-2</v>
      </c>
      <c r="AI404" s="9">
        <v>0.3756944444444445</v>
      </c>
      <c r="AJ404" s="9">
        <v>0.52013888888888882</v>
      </c>
      <c r="AK404" s="9">
        <f t="shared" si="116"/>
        <v>0.14444444444444432</v>
      </c>
      <c r="AM404" t="b">
        <v>1</v>
      </c>
    </row>
    <row r="405" spans="1:39" x14ac:dyDescent="0.3">
      <c r="A405">
        <v>2373463</v>
      </c>
      <c r="B405" t="s">
        <v>829</v>
      </c>
      <c r="C405" t="s">
        <v>29</v>
      </c>
      <c r="D405">
        <v>49</v>
      </c>
      <c r="E405" s="1">
        <v>26494</v>
      </c>
      <c r="F405" s="2">
        <v>44579.418240740742</v>
      </c>
      <c r="G405" t="s">
        <v>30</v>
      </c>
      <c r="H405">
        <v>2127</v>
      </c>
      <c r="I405" s="17">
        <f t="shared" si="118"/>
        <v>21.484848484848484</v>
      </c>
      <c r="J405" s="6">
        <v>4.7539999999999996</v>
      </c>
      <c r="K405" s="5">
        <v>99</v>
      </c>
      <c r="L405" s="5">
        <v>795</v>
      </c>
      <c r="M405" s="6">
        <f t="shared" si="119"/>
        <v>8.0303030303030312</v>
      </c>
      <c r="N405" s="6">
        <v>3.141</v>
      </c>
      <c r="O405" s="5">
        <v>99</v>
      </c>
      <c r="P405"/>
      <c r="Q405" s="5">
        <v>1438</v>
      </c>
      <c r="R405" s="6">
        <f t="shared" si="120"/>
        <v>14.525252525252526</v>
      </c>
      <c r="S405" s="6">
        <v>4.1020000000000003</v>
      </c>
      <c r="T405" s="5">
        <v>99</v>
      </c>
      <c r="U405" s="5">
        <v>377</v>
      </c>
      <c r="V405" s="6">
        <f t="shared" si="121"/>
        <v>3.808080808080808</v>
      </c>
      <c r="W405" s="6">
        <v>2.0489999999999999</v>
      </c>
      <c r="X405" s="5">
        <v>99</v>
      </c>
      <c r="Z405" s="6">
        <f t="shared" si="122"/>
        <v>2.6754716981132072</v>
      </c>
      <c r="AA405" s="6">
        <f t="shared" si="123"/>
        <v>3.8143236074270561</v>
      </c>
      <c r="AB405" s="13">
        <f t="shared" si="117"/>
        <v>0.42566397174636111</v>
      </c>
      <c r="AC405" t="s">
        <v>40</v>
      </c>
      <c r="AE405" t="s">
        <v>840</v>
      </c>
      <c r="AF405" s="9">
        <v>0.375</v>
      </c>
      <c r="AG405" s="9">
        <v>0.44444444444444442</v>
      </c>
      <c r="AH405" s="9">
        <f t="shared" si="115"/>
        <v>6.944444444444442E-2</v>
      </c>
      <c r="AI405" s="9">
        <v>0.375</v>
      </c>
      <c r="AJ405" s="9">
        <v>0.52083333333333337</v>
      </c>
      <c r="AK405" s="9">
        <f t="shared" si="116"/>
        <v>0.14583333333333337</v>
      </c>
      <c r="AM405" t="b">
        <v>1</v>
      </c>
    </row>
    <row r="406" spans="1:39" x14ac:dyDescent="0.3">
      <c r="A406">
        <v>1321122</v>
      </c>
      <c r="B406" t="s">
        <v>830</v>
      </c>
      <c r="C406" t="s">
        <v>29</v>
      </c>
      <c r="D406">
        <v>45</v>
      </c>
      <c r="E406" s="1">
        <v>27856</v>
      </c>
      <c r="F406" s="2">
        <v>44580.437951388885</v>
      </c>
      <c r="G406" t="s">
        <v>30</v>
      </c>
      <c r="H406">
        <v>1983</v>
      </c>
      <c r="I406" s="17">
        <f t="shared" si="118"/>
        <v>20.030303030303031</v>
      </c>
      <c r="J406" s="6">
        <v>4.43</v>
      </c>
      <c r="K406" s="5">
        <v>99</v>
      </c>
      <c r="L406" s="5">
        <v>875</v>
      </c>
      <c r="M406" s="6">
        <f t="shared" si="119"/>
        <v>8.8383838383838391</v>
      </c>
      <c r="N406" s="6">
        <v>3.2</v>
      </c>
      <c r="O406" s="5">
        <v>99</v>
      </c>
      <c r="P406"/>
      <c r="Q406" s="5">
        <v>1225</v>
      </c>
      <c r="R406" s="6">
        <f t="shared" si="120"/>
        <v>12.373737373737374</v>
      </c>
      <c r="S406" s="6">
        <v>3.762</v>
      </c>
      <c r="T406" s="5">
        <v>99</v>
      </c>
      <c r="U406" s="5">
        <v>325</v>
      </c>
      <c r="V406" s="6">
        <f t="shared" si="121"/>
        <v>3.2828282828282829</v>
      </c>
      <c r="W406" s="6">
        <v>1.879</v>
      </c>
      <c r="X406" s="5">
        <v>99</v>
      </c>
      <c r="Z406" s="6">
        <f t="shared" si="122"/>
        <v>2.266285714285714</v>
      </c>
      <c r="AA406" s="6">
        <f t="shared" si="123"/>
        <v>3.7692307692307692</v>
      </c>
      <c r="AB406" s="13">
        <f t="shared" si="117"/>
        <v>0.66317545288800983</v>
      </c>
      <c r="AC406" t="s">
        <v>40</v>
      </c>
      <c r="AE406" t="s">
        <v>840</v>
      </c>
      <c r="AF406" s="9">
        <v>0.38680555555555557</v>
      </c>
      <c r="AG406" s="9">
        <v>0.44444444444444442</v>
      </c>
      <c r="AH406" s="9">
        <f t="shared" si="115"/>
        <v>5.7638888888888851E-2</v>
      </c>
      <c r="AI406" s="9">
        <v>0.38680555555555557</v>
      </c>
      <c r="AJ406" s="9">
        <v>0.52986111111111112</v>
      </c>
      <c r="AK406" s="9">
        <f t="shared" si="116"/>
        <v>0.14305555555555555</v>
      </c>
      <c r="AM406" t="b">
        <v>1</v>
      </c>
    </row>
    <row r="407" spans="1:39" x14ac:dyDescent="0.3">
      <c r="A407" s="3" t="s">
        <v>831</v>
      </c>
      <c r="B407" t="s">
        <v>832</v>
      </c>
      <c r="C407" t="s">
        <v>29</v>
      </c>
      <c r="D407">
        <v>48</v>
      </c>
      <c r="E407" s="1">
        <v>26859</v>
      </c>
      <c r="F407" s="2">
        <v>44581.440335648149</v>
      </c>
      <c r="G407" t="s">
        <v>30</v>
      </c>
      <c r="H407">
        <v>1705</v>
      </c>
      <c r="I407" s="17">
        <f t="shared" si="118"/>
        <v>17.222222222222221</v>
      </c>
      <c r="J407" s="6">
        <v>4.6040000000000001</v>
      </c>
      <c r="K407" s="5">
        <v>99</v>
      </c>
      <c r="L407" s="5">
        <v>793</v>
      </c>
      <c r="M407" s="6">
        <f t="shared" si="119"/>
        <v>8.0101010101010104</v>
      </c>
      <c r="N407" s="6">
        <v>3.0390000000000001</v>
      </c>
      <c r="O407" s="5">
        <v>99</v>
      </c>
      <c r="P407"/>
      <c r="Q407" s="5">
        <v>941</v>
      </c>
      <c r="R407" s="6">
        <f t="shared" si="120"/>
        <v>9.5050505050505052</v>
      </c>
      <c r="S407" s="6">
        <v>2.746</v>
      </c>
      <c r="T407" s="5">
        <v>99</v>
      </c>
      <c r="U407" s="5">
        <v>248</v>
      </c>
      <c r="V407" s="6">
        <f t="shared" si="121"/>
        <v>2.5050505050505052</v>
      </c>
      <c r="W407" s="6">
        <v>1.587</v>
      </c>
      <c r="X407" s="5">
        <v>99</v>
      </c>
      <c r="Z407" s="6">
        <f t="shared" si="122"/>
        <v>2.150063051702396</v>
      </c>
      <c r="AA407" s="6">
        <f t="shared" si="123"/>
        <v>3.794354838709677</v>
      </c>
      <c r="AB407" s="13">
        <f t="shared" si="117"/>
        <v>0.76476444991013126</v>
      </c>
      <c r="AC407" t="s">
        <v>31</v>
      </c>
      <c r="AE407" t="s">
        <v>841</v>
      </c>
      <c r="AF407" s="9">
        <v>0.37708333333333338</v>
      </c>
      <c r="AG407" s="9">
        <v>0.44444444444444442</v>
      </c>
      <c r="AH407" s="9">
        <f t="shared" si="115"/>
        <v>6.7361111111111038E-2</v>
      </c>
      <c r="AI407" s="9">
        <v>0.37708333333333338</v>
      </c>
      <c r="AJ407" s="9">
        <v>0.52083333333333337</v>
      </c>
      <c r="AK407" s="9">
        <f t="shared" si="116"/>
        <v>0.14374999999999999</v>
      </c>
      <c r="AM407" t="b">
        <v>1</v>
      </c>
    </row>
    <row r="408" spans="1:39" x14ac:dyDescent="0.3">
      <c r="A408" s="3" t="s">
        <v>833</v>
      </c>
      <c r="B408" t="s">
        <v>834</v>
      </c>
      <c r="C408" t="s">
        <v>29</v>
      </c>
      <c r="D408">
        <v>55</v>
      </c>
      <c r="E408" s="1">
        <v>24356</v>
      </c>
      <c r="F408" s="2">
        <v>44582.418229166666</v>
      </c>
      <c r="G408" t="s">
        <v>30</v>
      </c>
      <c r="H408">
        <v>3164</v>
      </c>
      <c r="I408" s="17">
        <f t="shared" si="118"/>
        <v>31.959595959595958</v>
      </c>
      <c r="J408">
        <v>5.7050000000000001</v>
      </c>
      <c r="K408" s="5">
        <v>99</v>
      </c>
      <c r="L408" s="5">
        <v>1879</v>
      </c>
      <c r="M408" s="6">
        <f t="shared" si="119"/>
        <v>18.979797979797979</v>
      </c>
      <c r="N408" s="6">
        <v>4.7380000000000004</v>
      </c>
      <c r="O408" s="5">
        <v>99</v>
      </c>
      <c r="P408"/>
      <c r="Q408" s="5">
        <v>1832</v>
      </c>
      <c r="R408" s="6">
        <f t="shared" si="120"/>
        <v>18.32</v>
      </c>
      <c r="S408" s="6">
        <v>4.04</v>
      </c>
      <c r="T408" s="5">
        <v>100</v>
      </c>
      <c r="U408" s="5">
        <v>438</v>
      </c>
      <c r="V408" s="6">
        <f t="shared" si="121"/>
        <v>4.38</v>
      </c>
      <c r="W408" s="6">
        <v>2.1960000000000002</v>
      </c>
      <c r="X408" s="5">
        <v>100</v>
      </c>
      <c r="Z408" s="6">
        <f t="shared" si="122"/>
        <v>1.6838744012772751</v>
      </c>
      <c r="AA408" s="6">
        <f t="shared" si="123"/>
        <v>4.1826484018264845</v>
      </c>
      <c r="AB408" s="13">
        <f t="shared" si="117"/>
        <v>1.4839432196687627</v>
      </c>
      <c r="AC408" t="s">
        <v>40</v>
      </c>
      <c r="AE408" t="s">
        <v>840</v>
      </c>
      <c r="AF408" s="9">
        <v>0.38819444444444445</v>
      </c>
      <c r="AG408" s="9">
        <v>0.44444444444444442</v>
      </c>
      <c r="AH408" s="9">
        <f t="shared" si="115"/>
        <v>5.6249999999999967E-2</v>
      </c>
      <c r="AI408" s="9">
        <v>0.38819444444444445</v>
      </c>
      <c r="AJ408" s="9">
        <v>0.53125</v>
      </c>
      <c r="AK408" s="9">
        <f t="shared" si="116"/>
        <v>0.14305555555555555</v>
      </c>
      <c r="AM408" t="b">
        <v>1</v>
      </c>
    </row>
    <row r="409" spans="1:39" x14ac:dyDescent="0.3">
      <c r="A409">
        <v>2326652</v>
      </c>
      <c r="B409" t="s">
        <v>835</v>
      </c>
      <c r="C409" t="s">
        <v>29</v>
      </c>
      <c r="D409">
        <v>43</v>
      </c>
      <c r="E409" s="1">
        <v>28598</v>
      </c>
      <c r="F409" s="2">
        <v>44585.418749999997</v>
      </c>
      <c r="G409" t="s">
        <v>30</v>
      </c>
      <c r="H409">
        <v>2149</v>
      </c>
      <c r="I409" s="17">
        <f t="shared" si="118"/>
        <v>21.707070707070706</v>
      </c>
      <c r="J409">
        <v>4.3120000000000003</v>
      </c>
      <c r="K409" s="5">
        <v>99</v>
      </c>
      <c r="L409" s="5">
        <v>1204</v>
      </c>
      <c r="M409" s="6">
        <f t="shared" si="119"/>
        <v>12.161616161616161</v>
      </c>
      <c r="N409" s="6">
        <v>3.5960000000000001</v>
      </c>
      <c r="O409" s="5">
        <v>99</v>
      </c>
      <c r="P409"/>
      <c r="Q409" s="5">
        <v>1480</v>
      </c>
      <c r="R409" s="6">
        <f t="shared" si="120"/>
        <v>14.8</v>
      </c>
      <c r="S409" s="6">
        <v>3.516</v>
      </c>
      <c r="T409" s="5">
        <v>100</v>
      </c>
      <c r="U409" s="5">
        <v>517</v>
      </c>
      <c r="V409" s="6">
        <f t="shared" si="121"/>
        <v>5.17</v>
      </c>
      <c r="W409" s="6">
        <v>2.2519999999999998</v>
      </c>
      <c r="X409" s="5">
        <v>100</v>
      </c>
      <c r="Z409" s="6">
        <f t="shared" si="122"/>
        <v>1.7848837209302326</v>
      </c>
      <c r="AA409" s="6">
        <f t="shared" si="123"/>
        <v>2.8626692456479694</v>
      </c>
      <c r="AB409" s="13">
        <f t="shared" si="117"/>
        <v>0.60384075000472548</v>
      </c>
      <c r="AC409" t="s">
        <v>40</v>
      </c>
      <c r="AE409" t="s">
        <v>840</v>
      </c>
      <c r="AF409" s="9">
        <v>0.38194444444444442</v>
      </c>
      <c r="AG409" s="9">
        <v>0.44444444444444442</v>
      </c>
      <c r="AH409" s="9">
        <f t="shared" si="115"/>
        <v>6.25E-2</v>
      </c>
      <c r="AI409" s="9">
        <v>0.38194444444444442</v>
      </c>
      <c r="AJ409" s="9">
        <v>0.51874999999999993</v>
      </c>
      <c r="AK409" s="9">
        <f t="shared" si="116"/>
        <v>0.13680555555555551</v>
      </c>
      <c r="AM409" t="b">
        <v>1</v>
      </c>
    </row>
    <row r="410" spans="1:39" x14ac:dyDescent="0.3">
      <c r="A410">
        <v>2077713</v>
      </c>
      <c r="B410" t="s">
        <v>836</v>
      </c>
      <c r="C410" t="s">
        <v>29</v>
      </c>
      <c r="D410">
        <v>56</v>
      </c>
      <c r="E410" s="1">
        <v>23837</v>
      </c>
      <c r="F410" s="2">
        <v>44586.443680555552</v>
      </c>
      <c r="G410" t="s">
        <v>30</v>
      </c>
      <c r="H410">
        <v>1850</v>
      </c>
      <c r="I410" s="17">
        <f t="shared" si="118"/>
        <v>18.686868686868689</v>
      </c>
      <c r="J410" s="6">
        <v>4.6020000000000003</v>
      </c>
      <c r="K410" s="5">
        <v>99</v>
      </c>
      <c r="L410" s="5">
        <v>906</v>
      </c>
      <c r="M410" s="6">
        <f t="shared" si="119"/>
        <v>9.1515151515151523</v>
      </c>
      <c r="N410" s="6">
        <v>3.2530000000000001</v>
      </c>
      <c r="O410" s="5">
        <v>99</v>
      </c>
      <c r="P410"/>
      <c r="Q410" s="5">
        <v>1263</v>
      </c>
      <c r="R410" s="6">
        <f t="shared" si="120"/>
        <v>12.757575757575758</v>
      </c>
      <c r="S410" s="6">
        <v>4.1680000000000001</v>
      </c>
      <c r="T410" s="5">
        <v>99</v>
      </c>
      <c r="U410" s="5">
        <v>371</v>
      </c>
      <c r="V410" s="6">
        <f t="shared" si="121"/>
        <v>3.7474747474747474</v>
      </c>
      <c r="W410" s="6">
        <v>2.0819999999999999</v>
      </c>
      <c r="X410" s="5">
        <v>99</v>
      </c>
      <c r="Z410" s="6">
        <f t="shared" si="122"/>
        <v>2.0419426048565121</v>
      </c>
      <c r="AA410" s="6">
        <f t="shared" si="123"/>
        <v>3.404312668463612</v>
      </c>
      <c r="AB410" s="13">
        <f t="shared" si="117"/>
        <v>0.6671931230421797</v>
      </c>
      <c r="AC410" t="s">
        <v>31</v>
      </c>
      <c r="AE410" t="s">
        <v>840</v>
      </c>
      <c r="AF410" s="9">
        <v>0.39861111111111108</v>
      </c>
      <c r="AG410" s="9">
        <v>0.44444444444444442</v>
      </c>
      <c r="AH410" s="9">
        <f t="shared" si="115"/>
        <v>4.5833333333333337E-2</v>
      </c>
      <c r="AI410" s="9">
        <v>0.39861111111111108</v>
      </c>
      <c r="AJ410" s="9">
        <v>0.53472222222222221</v>
      </c>
      <c r="AK410" s="9">
        <f t="shared" si="116"/>
        <v>0.13611111111111113</v>
      </c>
      <c r="AM410" t="b">
        <v>1</v>
      </c>
    </row>
    <row r="411" spans="1:39" x14ac:dyDescent="0.3">
      <c r="A411">
        <v>2208516</v>
      </c>
      <c r="B411" t="s">
        <v>837</v>
      </c>
      <c r="C411" t="s">
        <v>29</v>
      </c>
      <c r="D411">
        <v>41</v>
      </c>
      <c r="E411" s="1">
        <v>29295</v>
      </c>
      <c r="F411" s="2">
        <v>44587.442835648151</v>
      </c>
      <c r="G411" t="s">
        <v>30</v>
      </c>
      <c r="H411">
        <v>2083</v>
      </c>
      <c r="I411" s="17">
        <f t="shared" si="118"/>
        <v>20.83</v>
      </c>
      <c r="J411">
        <v>5.2949999999999999</v>
      </c>
      <c r="K411" s="5">
        <v>100</v>
      </c>
      <c r="L411" s="5">
        <v>1031</v>
      </c>
      <c r="M411" s="6">
        <f t="shared" si="119"/>
        <v>10.31</v>
      </c>
      <c r="N411" s="6">
        <v>3.2559999999999998</v>
      </c>
      <c r="O411" s="5">
        <v>100</v>
      </c>
      <c r="P411"/>
      <c r="Q411" s="5">
        <v>1580</v>
      </c>
      <c r="R411" s="6">
        <f t="shared" si="120"/>
        <v>15.8</v>
      </c>
      <c r="S411" s="6">
        <v>4.5460000000000003</v>
      </c>
      <c r="T411" s="5">
        <v>100</v>
      </c>
      <c r="U411" s="5">
        <v>330</v>
      </c>
      <c r="V411" s="6">
        <f t="shared" si="121"/>
        <v>3.3</v>
      </c>
      <c r="W411" s="6">
        <v>1.7490000000000001</v>
      </c>
      <c r="X411" s="5">
        <v>100</v>
      </c>
      <c r="Z411" s="6">
        <f t="shared" si="122"/>
        <v>2.0203685741998059</v>
      </c>
      <c r="AA411" s="6">
        <f t="shared" si="123"/>
        <v>4.7878787878787881</v>
      </c>
      <c r="AB411" s="13">
        <f t="shared" si="117"/>
        <v>1.3698046232851804</v>
      </c>
      <c r="AC411" t="s">
        <v>31</v>
      </c>
      <c r="AE411" t="s">
        <v>840</v>
      </c>
      <c r="AF411" s="9">
        <v>0.3923611111111111</v>
      </c>
      <c r="AG411" s="9">
        <v>0.44444444444444442</v>
      </c>
      <c r="AH411" s="9">
        <f t="shared" si="115"/>
        <v>5.2083333333333315E-2</v>
      </c>
      <c r="AI411" s="9">
        <v>0.3923611111111111</v>
      </c>
      <c r="AJ411" s="9">
        <v>0.54166666666666663</v>
      </c>
      <c r="AK411" s="9">
        <f t="shared" si="116"/>
        <v>0.14930555555555552</v>
      </c>
      <c r="AM411" t="b">
        <v>1</v>
      </c>
    </row>
    <row r="412" spans="1:39" x14ac:dyDescent="0.3">
      <c r="A412">
        <v>2727292</v>
      </c>
      <c r="B412" t="s">
        <v>838</v>
      </c>
      <c r="C412" t="s">
        <v>29</v>
      </c>
      <c r="D412">
        <v>49</v>
      </c>
      <c r="E412" s="1">
        <v>26659</v>
      </c>
      <c r="F412" s="2">
        <v>44587.433171296296</v>
      </c>
      <c r="G412" t="s">
        <v>278</v>
      </c>
      <c r="H412">
        <v>2344</v>
      </c>
      <c r="I412" s="17">
        <f t="shared" si="118"/>
        <v>23.676767676767678</v>
      </c>
      <c r="J412">
        <v>5.2</v>
      </c>
      <c r="K412" s="5">
        <v>99</v>
      </c>
      <c r="L412" s="5">
        <v>1058</v>
      </c>
      <c r="M412" s="6">
        <f t="shared" si="119"/>
        <v>10.686868686868687</v>
      </c>
      <c r="N412" s="6">
        <v>3.3769999999999998</v>
      </c>
      <c r="O412" s="5">
        <v>99</v>
      </c>
      <c r="P412"/>
      <c r="Q412" s="5">
        <v>1577</v>
      </c>
      <c r="R412" s="6">
        <f t="shared" si="120"/>
        <v>15.929292929292929</v>
      </c>
      <c r="S412" s="6">
        <v>4.3449999999999998</v>
      </c>
      <c r="T412" s="5">
        <v>99</v>
      </c>
      <c r="U412" s="5">
        <v>411</v>
      </c>
      <c r="V412" s="6">
        <f t="shared" si="121"/>
        <v>4.1515151515151514</v>
      </c>
      <c r="W412" s="6">
        <v>2.0920000000000001</v>
      </c>
      <c r="X412" s="5">
        <v>99</v>
      </c>
      <c r="Z412" s="6">
        <f t="shared" si="122"/>
        <v>2.2155009451795844</v>
      </c>
      <c r="AA412" s="6">
        <f t="shared" si="123"/>
        <v>3.8369829683698295</v>
      </c>
      <c r="AB412" s="13">
        <f t="shared" si="117"/>
        <v>0.73188053777102358</v>
      </c>
      <c r="AC412" t="s">
        <v>40</v>
      </c>
      <c r="AE412" t="s">
        <v>841</v>
      </c>
      <c r="AF412" s="9">
        <v>0.38263888888888892</v>
      </c>
      <c r="AG412" s="9">
        <v>0.44444444444444442</v>
      </c>
      <c r="AH412" s="9">
        <f t="shared" si="115"/>
        <v>6.1805555555555503E-2</v>
      </c>
      <c r="AI412" s="9">
        <v>0.38263888888888892</v>
      </c>
      <c r="AJ412" s="9">
        <v>0.52083333333333337</v>
      </c>
      <c r="AK412" s="9">
        <f t="shared" si="116"/>
        <v>0.13819444444444445</v>
      </c>
      <c r="AM412" t="b">
        <v>1</v>
      </c>
    </row>
    <row r="413" spans="1:39" x14ac:dyDescent="0.3">
      <c r="A413">
        <v>2539860</v>
      </c>
      <c r="B413" t="s">
        <v>839</v>
      </c>
      <c r="C413" t="s">
        <v>29</v>
      </c>
      <c r="D413">
        <v>53</v>
      </c>
      <c r="E413" s="1">
        <v>25085</v>
      </c>
      <c r="F413" s="2">
        <v>44588.421180555553</v>
      </c>
      <c r="G413" t="s">
        <v>30</v>
      </c>
      <c r="H413">
        <v>1889</v>
      </c>
      <c r="I413" s="17">
        <f t="shared" si="118"/>
        <v>18.89</v>
      </c>
      <c r="J413" s="6">
        <v>5.1070000000000002</v>
      </c>
      <c r="K413" s="5">
        <v>100</v>
      </c>
      <c r="L413" s="5">
        <v>1006</v>
      </c>
      <c r="M413" s="6">
        <f t="shared" si="119"/>
        <v>10.06</v>
      </c>
      <c r="N413" s="6">
        <v>3.339</v>
      </c>
      <c r="O413" s="5">
        <v>100</v>
      </c>
      <c r="P413"/>
      <c r="Q413" s="5">
        <v>1129</v>
      </c>
      <c r="R413" s="6">
        <f t="shared" si="120"/>
        <v>11.404040404040405</v>
      </c>
      <c r="S413" s="6">
        <v>3.47</v>
      </c>
      <c r="T413" s="5">
        <v>99</v>
      </c>
      <c r="U413" s="5">
        <v>301</v>
      </c>
      <c r="V413" s="6">
        <f t="shared" si="121"/>
        <v>3.0404040404040402</v>
      </c>
      <c r="W413" s="6">
        <v>1.857</v>
      </c>
      <c r="X413" s="5">
        <v>99</v>
      </c>
      <c r="Z413" s="6">
        <f t="shared" si="122"/>
        <v>1.8777335984095427</v>
      </c>
      <c r="AA413" s="6">
        <f t="shared" si="123"/>
        <v>3.7508305647840539</v>
      </c>
      <c r="AB413" s="13">
        <f t="shared" si="117"/>
        <v>0.99753072957795574</v>
      </c>
      <c r="AC413" t="s">
        <v>31</v>
      </c>
      <c r="AE413" t="s">
        <v>842</v>
      </c>
      <c r="AF413" s="9">
        <v>0.37916666666666665</v>
      </c>
      <c r="AG413" s="9">
        <v>0.4236111111111111</v>
      </c>
      <c r="AH413" s="9">
        <f t="shared" si="115"/>
        <v>4.4444444444444453E-2</v>
      </c>
      <c r="AI413" s="9">
        <v>0.37916666666666665</v>
      </c>
      <c r="AJ413" s="9">
        <v>0.52083333333333337</v>
      </c>
      <c r="AK413" s="9">
        <f t="shared" si="116"/>
        <v>0.14166666666666672</v>
      </c>
      <c r="AM413" t="b">
        <v>1</v>
      </c>
    </row>
    <row r="414" spans="1:39" x14ac:dyDescent="0.3">
      <c r="A414" s="3" t="s">
        <v>843</v>
      </c>
      <c r="B414" t="s">
        <v>844</v>
      </c>
      <c r="C414" t="s">
        <v>29</v>
      </c>
      <c r="D414" t="s">
        <v>845</v>
      </c>
      <c r="E414" s="1">
        <v>26134</v>
      </c>
      <c r="F414" s="2">
        <v>44603.418680555558</v>
      </c>
      <c r="G414" t="s">
        <v>30</v>
      </c>
      <c r="H414">
        <v>2976</v>
      </c>
      <c r="I414">
        <f t="shared" si="118"/>
        <v>30.060606060606062</v>
      </c>
      <c r="J414" s="6">
        <v>5.125</v>
      </c>
      <c r="K414" s="5">
        <v>99</v>
      </c>
      <c r="L414" s="5">
        <v>1326</v>
      </c>
      <c r="M414" s="6">
        <f t="shared" si="119"/>
        <v>13.393939393939394</v>
      </c>
      <c r="N414" s="6">
        <v>3.6419999999999999</v>
      </c>
      <c r="O414" s="5">
        <v>99</v>
      </c>
      <c r="P414"/>
      <c r="Q414" s="5">
        <v>1949</v>
      </c>
      <c r="R414" s="6">
        <f t="shared" si="120"/>
        <v>19.489999999999998</v>
      </c>
      <c r="S414" s="6">
        <v>4.6109999999999998</v>
      </c>
      <c r="T414" s="5">
        <v>100</v>
      </c>
      <c r="U414" s="5">
        <v>426</v>
      </c>
      <c r="V414" s="6">
        <f t="shared" si="121"/>
        <v>4.26</v>
      </c>
      <c r="W414" s="6">
        <v>2.077</v>
      </c>
      <c r="X414" s="5">
        <v>100</v>
      </c>
      <c r="Z414" s="6">
        <f t="shared" si="122"/>
        <v>2.244343891402715</v>
      </c>
      <c r="AA414" s="6">
        <f t="shared" si="123"/>
        <v>4.575117370892019</v>
      </c>
      <c r="AB414" s="13">
        <f t="shared" ref="AB414:AB419" si="124">(AA414-Z414)/Z414</f>
        <v>1.0385099575950327</v>
      </c>
      <c r="AC414" t="s">
        <v>40</v>
      </c>
      <c r="AE414" t="s">
        <v>420</v>
      </c>
      <c r="AF414" s="9">
        <v>0.37222222222222223</v>
      </c>
      <c r="AG414" s="9">
        <v>0.4236111111111111</v>
      </c>
      <c r="AH414" s="9">
        <f>AG414-AF414</f>
        <v>5.1388888888888873E-2</v>
      </c>
      <c r="AI414" s="9">
        <f>AF414</f>
        <v>0.37222222222222223</v>
      </c>
      <c r="AJ414" s="9">
        <v>0.52083333333333337</v>
      </c>
      <c r="AK414" s="9">
        <f>AJ414-AI414</f>
        <v>0.14861111111111114</v>
      </c>
      <c r="AM414" t="b">
        <v>1</v>
      </c>
    </row>
    <row r="415" spans="1:39" x14ac:dyDescent="0.3">
      <c r="A415" s="3">
        <v>1883479</v>
      </c>
      <c r="B415" t="s">
        <v>846</v>
      </c>
      <c r="C415" t="s">
        <v>29</v>
      </c>
      <c r="D415" t="s">
        <v>847</v>
      </c>
      <c r="E415" s="1">
        <v>30141</v>
      </c>
      <c r="F415" s="2">
        <v>44606.437395833331</v>
      </c>
      <c r="G415" t="s">
        <v>30</v>
      </c>
      <c r="H415">
        <v>1604</v>
      </c>
      <c r="I415">
        <f t="shared" si="118"/>
        <v>16.202020202020201</v>
      </c>
      <c r="J415" s="6">
        <v>1.603</v>
      </c>
      <c r="K415" s="5">
        <v>99</v>
      </c>
      <c r="L415" s="5">
        <v>912</v>
      </c>
      <c r="M415" s="6">
        <f t="shared" si="119"/>
        <v>9.2121212121212128</v>
      </c>
      <c r="N415" s="6">
        <v>1.081</v>
      </c>
      <c r="O415" s="5">
        <v>99</v>
      </c>
      <c r="P415"/>
      <c r="Q415" s="5">
        <v>1053</v>
      </c>
      <c r="R415" s="6">
        <f t="shared" si="120"/>
        <v>10.636363636363637</v>
      </c>
      <c r="S415" s="6">
        <v>0.88600000000000001</v>
      </c>
      <c r="T415" s="5">
        <v>99</v>
      </c>
      <c r="U415" s="5">
        <v>309</v>
      </c>
      <c r="V415" s="6">
        <f t="shared" si="121"/>
        <v>3.1212121212121211</v>
      </c>
      <c r="W415" s="6">
        <v>0.57599999999999996</v>
      </c>
      <c r="X415" s="5">
        <v>99</v>
      </c>
      <c r="Z415" s="6">
        <f t="shared" si="122"/>
        <v>1.7587719298245612</v>
      </c>
      <c r="AA415" s="6">
        <f t="shared" si="123"/>
        <v>3.4077669902912624</v>
      </c>
      <c r="AB415" s="13">
        <f t="shared" si="124"/>
        <v>0.93758322640001979</v>
      </c>
      <c r="AC415" t="s">
        <v>39</v>
      </c>
      <c r="AE415" t="s">
        <v>854</v>
      </c>
      <c r="AF415" s="9">
        <v>0.38541666666666669</v>
      </c>
      <c r="AG415" s="9">
        <v>0.44097222222222227</v>
      </c>
      <c r="AH415" s="9">
        <f t="shared" ref="AH415:AH419" si="125">AG415-AF415</f>
        <v>5.555555555555558E-2</v>
      </c>
      <c r="AI415" s="9">
        <f t="shared" ref="AI415:AI419" si="126">AF415</f>
        <v>0.38541666666666669</v>
      </c>
      <c r="AJ415" s="9">
        <v>0.51736111111111105</v>
      </c>
      <c r="AK415" s="9">
        <f t="shared" ref="AK415:AK419" si="127">AJ415-AI415</f>
        <v>0.13194444444444436</v>
      </c>
      <c r="AM415" t="b">
        <v>1</v>
      </c>
    </row>
    <row r="416" spans="1:39" x14ac:dyDescent="0.3">
      <c r="A416" s="3">
        <v>2259620</v>
      </c>
      <c r="B416" t="s">
        <v>406</v>
      </c>
      <c r="C416" t="s">
        <v>29</v>
      </c>
      <c r="D416" t="s">
        <v>845</v>
      </c>
      <c r="E416" s="1">
        <v>25997</v>
      </c>
      <c r="F416" s="2">
        <v>44607.442569444444</v>
      </c>
      <c r="G416" t="s">
        <v>30</v>
      </c>
      <c r="H416">
        <v>1757</v>
      </c>
      <c r="I416">
        <f t="shared" si="118"/>
        <v>17.747474747474747</v>
      </c>
      <c r="J416" s="6">
        <v>4.2939999999999996</v>
      </c>
      <c r="K416" s="5">
        <v>99</v>
      </c>
      <c r="L416" s="5">
        <v>1019</v>
      </c>
      <c r="M416" s="6">
        <f t="shared" si="119"/>
        <v>10.292929292929292</v>
      </c>
      <c r="N416" s="6">
        <v>3.3570000000000002</v>
      </c>
      <c r="O416" s="5">
        <v>99</v>
      </c>
      <c r="P416"/>
      <c r="Q416" s="5">
        <v>1300</v>
      </c>
      <c r="R416" s="6">
        <f t="shared" si="120"/>
        <v>13.131313131313131</v>
      </c>
      <c r="S416" s="6">
        <v>3.9319999999999999</v>
      </c>
      <c r="T416" s="5">
        <v>99</v>
      </c>
      <c r="U416" s="5">
        <v>371</v>
      </c>
      <c r="V416" s="6">
        <f t="shared" si="121"/>
        <v>3.7474747474747474</v>
      </c>
      <c r="W416" s="6">
        <v>2.0619999999999998</v>
      </c>
      <c r="X416" s="5">
        <v>99</v>
      </c>
      <c r="Z416" s="6">
        <f t="shared" si="122"/>
        <v>1.7242394504416094</v>
      </c>
      <c r="AA416" s="6">
        <f t="shared" si="123"/>
        <v>3.5040431266846364</v>
      </c>
      <c r="AB416" s="13">
        <f t="shared" si="124"/>
        <v>1.032225353495529</v>
      </c>
      <c r="AC416" t="s">
        <v>31</v>
      </c>
      <c r="AE416" t="s">
        <v>421</v>
      </c>
      <c r="AF416" s="9">
        <v>0.39583333333333331</v>
      </c>
      <c r="AG416" s="9">
        <v>0.44444444444444442</v>
      </c>
      <c r="AH416" s="9">
        <f t="shared" si="125"/>
        <v>4.8611111111111105E-2</v>
      </c>
      <c r="AI416" s="9">
        <f t="shared" si="126"/>
        <v>0.39583333333333331</v>
      </c>
      <c r="AJ416" s="9">
        <v>0.53472222222222221</v>
      </c>
      <c r="AK416" s="9">
        <f t="shared" si="127"/>
        <v>0.1388888888888889</v>
      </c>
      <c r="AM416" t="b">
        <v>1</v>
      </c>
    </row>
    <row r="417" spans="1:39" x14ac:dyDescent="0.3">
      <c r="A417" s="3">
        <v>2655141</v>
      </c>
      <c r="B417" t="s">
        <v>848</v>
      </c>
      <c r="C417" t="s">
        <v>29</v>
      </c>
      <c r="D417" t="s">
        <v>849</v>
      </c>
      <c r="E417" s="1">
        <v>28651</v>
      </c>
      <c r="F417" s="2">
        <v>44607.432905092595</v>
      </c>
      <c r="G417" t="s">
        <v>30</v>
      </c>
      <c r="H417">
        <v>3118</v>
      </c>
      <c r="I417">
        <f t="shared" si="118"/>
        <v>31.494949494949495</v>
      </c>
      <c r="J417" s="6">
        <v>5.13</v>
      </c>
      <c r="K417" s="5">
        <v>99</v>
      </c>
      <c r="L417" s="5">
        <v>1195</v>
      </c>
      <c r="M417" s="6">
        <f t="shared" si="119"/>
        <v>12.070707070707071</v>
      </c>
      <c r="N417" s="6">
        <v>3.734</v>
      </c>
      <c r="O417" s="5">
        <v>99</v>
      </c>
      <c r="P417"/>
      <c r="Q417" s="5">
        <v>2240</v>
      </c>
      <c r="R417" s="6">
        <f t="shared" si="120"/>
        <v>22.626262626262626</v>
      </c>
      <c r="S417" s="6">
        <v>5.867</v>
      </c>
      <c r="T417" s="5">
        <v>99</v>
      </c>
      <c r="U417" s="5">
        <v>435</v>
      </c>
      <c r="V417" s="6">
        <f t="shared" si="121"/>
        <v>4.3939393939393936</v>
      </c>
      <c r="W417" s="7">
        <v>2.1320000000000001</v>
      </c>
      <c r="X417" s="5">
        <v>99</v>
      </c>
      <c r="Z417" s="6">
        <f t="shared" si="122"/>
        <v>2.609205020920502</v>
      </c>
      <c r="AA417" s="6">
        <f t="shared" si="123"/>
        <v>5.1494252873563227</v>
      </c>
      <c r="AB417" s="13">
        <f t="shared" si="124"/>
        <v>0.97356100653970679</v>
      </c>
      <c r="AC417" t="s">
        <v>40</v>
      </c>
      <c r="AE417" t="s">
        <v>854</v>
      </c>
      <c r="AF417" s="9">
        <v>0.38263888888888892</v>
      </c>
      <c r="AG417" s="9">
        <v>0.43055555555555558</v>
      </c>
      <c r="AH417" s="9">
        <f t="shared" si="125"/>
        <v>4.7916666666666663E-2</v>
      </c>
      <c r="AI417" s="9">
        <f t="shared" si="126"/>
        <v>0.38263888888888892</v>
      </c>
      <c r="AJ417" s="9">
        <v>0.52083333333333337</v>
      </c>
      <c r="AK417" s="9">
        <f t="shared" si="127"/>
        <v>0.13819444444444445</v>
      </c>
      <c r="AM417" t="b">
        <v>1</v>
      </c>
    </row>
    <row r="418" spans="1:39" x14ac:dyDescent="0.3">
      <c r="A418" s="3">
        <v>2712233</v>
      </c>
      <c r="B418" t="s">
        <v>850</v>
      </c>
      <c r="C418" t="s">
        <v>52</v>
      </c>
      <c r="D418" t="s">
        <v>851</v>
      </c>
      <c r="E418" s="1">
        <v>20044</v>
      </c>
      <c r="F418" s="2">
        <v>44608.436539351853</v>
      </c>
      <c r="G418" t="s">
        <v>30</v>
      </c>
      <c r="H418">
        <v>3878</v>
      </c>
      <c r="I418">
        <f t="shared" si="118"/>
        <v>38.78</v>
      </c>
      <c r="J418" s="6">
        <v>7.1390000000000002</v>
      </c>
      <c r="K418" s="5">
        <v>100</v>
      </c>
      <c r="L418" s="5">
        <v>2217</v>
      </c>
      <c r="M418" s="6">
        <f t="shared" si="119"/>
        <v>22.17</v>
      </c>
      <c r="N418" s="6">
        <v>5.0350000000000001</v>
      </c>
      <c r="O418" s="5">
        <v>100</v>
      </c>
      <c r="P418"/>
      <c r="Q418" s="5">
        <v>2739</v>
      </c>
      <c r="R418" s="6">
        <f t="shared" si="120"/>
        <v>27.666666666666668</v>
      </c>
      <c r="S418" s="6">
        <v>5.3259999999999996</v>
      </c>
      <c r="T418" s="5">
        <v>99</v>
      </c>
      <c r="U418" s="5">
        <v>986</v>
      </c>
      <c r="V418" s="6">
        <f t="shared" si="121"/>
        <v>9.9595959595959602</v>
      </c>
      <c r="W418" s="7">
        <v>3.3769999999999998</v>
      </c>
      <c r="X418" s="5">
        <v>99</v>
      </c>
      <c r="Z418" s="6">
        <f t="shared" si="122"/>
        <v>1.7492106450157869</v>
      </c>
      <c r="AA418" s="6">
        <f t="shared" si="123"/>
        <v>2.7778904665314399</v>
      </c>
      <c r="AB418" s="13">
        <f t="shared" si="124"/>
        <v>0.58808230126359018</v>
      </c>
      <c r="AC418" t="s">
        <v>40</v>
      </c>
      <c r="AE418" t="s">
        <v>420</v>
      </c>
      <c r="AF418" s="9">
        <v>0.38680555555555557</v>
      </c>
      <c r="AG418" s="9">
        <v>0.44444444444444442</v>
      </c>
      <c r="AH418" s="9">
        <f t="shared" si="125"/>
        <v>5.7638888888888851E-2</v>
      </c>
      <c r="AI418" s="9">
        <f t="shared" si="126"/>
        <v>0.38680555555555557</v>
      </c>
      <c r="AJ418" s="9">
        <v>0.53472222222222221</v>
      </c>
      <c r="AK418" s="9">
        <f t="shared" si="127"/>
        <v>0.14791666666666664</v>
      </c>
      <c r="AM418" t="b">
        <v>1</v>
      </c>
    </row>
    <row r="419" spans="1:39" x14ac:dyDescent="0.3">
      <c r="A419" s="3" t="s">
        <v>852</v>
      </c>
      <c r="B419" t="s">
        <v>298</v>
      </c>
      <c r="C419" t="s">
        <v>29</v>
      </c>
      <c r="D419" t="s">
        <v>853</v>
      </c>
      <c r="E419" s="1">
        <v>24917</v>
      </c>
      <c r="F419" s="2">
        <v>44620.426249999997</v>
      </c>
      <c r="G419" t="s">
        <v>30</v>
      </c>
      <c r="H419">
        <v>2406</v>
      </c>
      <c r="I419" s="6">
        <f t="shared" si="118"/>
        <v>24.303030303030305</v>
      </c>
      <c r="J419" s="6">
        <v>1.2330000000000001</v>
      </c>
      <c r="K419" s="5">
        <v>99</v>
      </c>
      <c r="L419" s="5">
        <v>1847</v>
      </c>
      <c r="M419" s="6">
        <f t="shared" si="119"/>
        <v>18.656565656565657</v>
      </c>
      <c r="N419" s="6">
        <v>1.6970000000000001</v>
      </c>
      <c r="O419" s="5">
        <v>99</v>
      </c>
      <c r="P419"/>
      <c r="Q419" s="5">
        <v>1470</v>
      </c>
      <c r="R419" s="6">
        <f t="shared" si="120"/>
        <v>14.848484848484848</v>
      </c>
      <c r="S419" s="6">
        <v>1.119</v>
      </c>
      <c r="T419" s="5">
        <v>99</v>
      </c>
      <c r="U419" s="5">
        <v>383</v>
      </c>
      <c r="V419" s="6">
        <f t="shared" si="121"/>
        <v>3.8686868686868685</v>
      </c>
      <c r="W419" s="7">
        <v>0.56499999999999995</v>
      </c>
      <c r="X419" s="5">
        <v>99</v>
      </c>
      <c r="Z419" s="6">
        <f t="shared" si="122"/>
        <v>1.302652950730915</v>
      </c>
      <c r="AA419" s="6">
        <f t="shared" si="123"/>
        <v>3.8381201044386422</v>
      </c>
      <c r="AB419" s="13">
        <f t="shared" si="124"/>
        <v>1.9463872954688994</v>
      </c>
      <c r="AC419" t="s">
        <v>39</v>
      </c>
      <c r="AE419" t="s">
        <v>421</v>
      </c>
      <c r="AF419" s="9">
        <v>0.39999999999999997</v>
      </c>
      <c r="AG419" s="9">
        <v>0.4375</v>
      </c>
      <c r="AH419" s="9">
        <f t="shared" si="125"/>
        <v>3.7500000000000033E-2</v>
      </c>
      <c r="AI419" s="9">
        <f t="shared" si="126"/>
        <v>0.39999999999999997</v>
      </c>
      <c r="AJ419" s="9">
        <v>0.52986111111111112</v>
      </c>
      <c r="AK419" s="9">
        <f t="shared" si="127"/>
        <v>0.12986111111111115</v>
      </c>
      <c r="AM419" t="b">
        <v>1</v>
      </c>
    </row>
    <row r="420" spans="1:39" x14ac:dyDescent="0.3">
      <c r="A420" s="3" t="s">
        <v>855</v>
      </c>
      <c r="B420" t="s">
        <v>856</v>
      </c>
      <c r="C420" t="s">
        <v>29</v>
      </c>
      <c r="D420" t="s">
        <v>857</v>
      </c>
      <c r="E420" s="1">
        <v>23106</v>
      </c>
      <c r="F420" s="2">
        <v>44623.424201388887</v>
      </c>
      <c r="G420" t="s">
        <v>30</v>
      </c>
      <c r="H420">
        <v>3570</v>
      </c>
      <c r="I420">
        <f>H420/K420</f>
        <v>36.060606060606062</v>
      </c>
      <c r="J420">
        <v>5.734</v>
      </c>
      <c r="K420" s="5">
        <v>99</v>
      </c>
      <c r="L420" s="5">
        <v>1460</v>
      </c>
      <c r="M420" s="6">
        <f>L420/O420</f>
        <v>14.747474747474747</v>
      </c>
      <c r="N420" s="6">
        <v>4.399</v>
      </c>
      <c r="O420" s="5">
        <v>99</v>
      </c>
      <c r="P420"/>
      <c r="Q420" s="5">
        <v>3071</v>
      </c>
      <c r="R420" s="6">
        <f>Q420/T420</f>
        <v>30.71</v>
      </c>
      <c r="S420" s="6">
        <v>6.7110000000000003</v>
      </c>
      <c r="T420" s="5">
        <v>100</v>
      </c>
      <c r="U420" s="5">
        <v>650</v>
      </c>
      <c r="V420" s="6">
        <f>U420/X420</f>
        <v>6.5</v>
      </c>
      <c r="W420" s="6">
        <v>2.6030000000000002</v>
      </c>
      <c r="X420" s="5">
        <v>100</v>
      </c>
      <c r="Z420" s="6">
        <f>I420/M420</f>
        <v>2.445205479452055</v>
      </c>
      <c r="AA420" s="6">
        <f>R420/V420</f>
        <v>4.7246153846153849</v>
      </c>
      <c r="AB420" s="13">
        <f>(AA420-Z420)/Z420</f>
        <v>0.93219564748976502</v>
      </c>
      <c r="AC420" t="s">
        <v>858</v>
      </c>
      <c r="AE420" t="s">
        <v>859</v>
      </c>
      <c r="AF420" s="9">
        <v>0.38125000000000003</v>
      </c>
      <c r="AG420" s="9">
        <v>0.4236111111111111</v>
      </c>
      <c r="AH420" s="9">
        <f>AG420-AF420</f>
        <v>4.2361111111111072E-2</v>
      </c>
      <c r="AI420" s="9">
        <f>AF420</f>
        <v>0.38125000000000003</v>
      </c>
      <c r="AJ420" s="9">
        <v>0.52083333333333337</v>
      </c>
      <c r="AK420" s="9">
        <f>AJ420-AI420</f>
        <v>0.13958333333333334</v>
      </c>
      <c r="AM420" t="b">
        <v>0</v>
      </c>
    </row>
    <row r="421" spans="1:39" x14ac:dyDescent="0.3">
      <c r="E421" s="1"/>
      <c r="F421" s="2"/>
      <c r="H421"/>
      <c r="P421"/>
      <c r="AB421" s="13"/>
      <c r="AF421" s="9"/>
      <c r="AG421" s="9"/>
      <c r="AH421" s="9"/>
      <c r="AI421" s="9"/>
      <c r="AJ421" s="9"/>
      <c r="AK421" s="9"/>
    </row>
    <row r="422" spans="1:39" x14ac:dyDescent="0.3">
      <c r="E422" s="1"/>
      <c r="F422" s="2"/>
      <c r="H422"/>
      <c r="J422"/>
      <c r="P422"/>
      <c r="AB422" s="13"/>
      <c r="AF422" s="9"/>
      <c r="AG422" s="9"/>
      <c r="AH422" s="9"/>
      <c r="AI422" s="9"/>
      <c r="AJ422" s="9"/>
      <c r="AK422" s="9"/>
    </row>
    <row r="423" spans="1:39" x14ac:dyDescent="0.3">
      <c r="E423" s="1"/>
      <c r="F423" s="2"/>
      <c r="H423"/>
      <c r="J423"/>
      <c r="P423"/>
      <c r="AB423" s="13"/>
      <c r="AF423" s="9"/>
      <c r="AG423" s="9"/>
      <c r="AH423" s="9"/>
      <c r="AI423" s="9"/>
      <c r="AJ423" s="9"/>
      <c r="AK423" s="9"/>
    </row>
    <row r="424" spans="1:39" x14ac:dyDescent="0.3">
      <c r="E424" s="1"/>
      <c r="F424" s="2"/>
      <c r="H424"/>
      <c r="J424"/>
      <c r="K424"/>
      <c r="P424"/>
      <c r="W424" s="7"/>
      <c r="AB424" s="13"/>
      <c r="AF424" s="9"/>
      <c r="AG424" s="9"/>
      <c r="AH424" s="9"/>
      <c r="AI424" s="9"/>
      <c r="AJ424" s="9"/>
      <c r="AK424" s="9"/>
    </row>
    <row r="425" spans="1:39" x14ac:dyDescent="0.3">
      <c r="E425" s="1"/>
      <c r="F425" s="2"/>
      <c r="H425"/>
      <c r="J425"/>
      <c r="K425"/>
      <c r="P425"/>
      <c r="W425" s="7"/>
      <c r="AB425" s="13"/>
      <c r="AF425" s="9"/>
      <c r="AG425" s="9"/>
      <c r="AH425" s="9"/>
      <c r="AI425" s="9"/>
      <c r="AJ425" s="9"/>
      <c r="AK425" s="9"/>
    </row>
    <row r="426" spans="1:39" x14ac:dyDescent="0.3">
      <c r="E426" s="1"/>
      <c r="F426" s="2"/>
      <c r="H426"/>
      <c r="P426"/>
      <c r="W426" s="7"/>
      <c r="AB426" s="13"/>
      <c r="AF426" s="9"/>
      <c r="AG426" s="9"/>
      <c r="AH426" s="9"/>
      <c r="AI426" s="9"/>
      <c r="AJ426" s="9"/>
      <c r="AK426" s="9"/>
    </row>
    <row r="427" spans="1:39" x14ac:dyDescent="0.3">
      <c r="E427" s="1"/>
      <c r="F427" s="2"/>
      <c r="H427"/>
      <c r="P427"/>
      <c r="AB427" s="13"/>
      <c r="AF427" s="9"/>
      <c r="AG427" s="9"/>
      <c r="AH427" s="9"/>
      <c r="AI427" s="9"/>
      <c r="AJ427" s="9"/>
      <c r="AK427" s="9"/>
    </row>
    <row r="428" spans="1:39" x14ac:dyDescent="0.3">
      <c r="E428" s="1"/>
      <c r="F428" s="2"/>
      <c r="H428"/>
      <c r="P428"/>
      <c r="AB428" s="13"/>
      <c r="AF428" s="9"/>
      <c r="AG428" s="9"/>
      <c r="AH428" s="9"/>
      <c r="AI428" s="9"/>
      <c r="AJ428" s="9"/>
      <c r="AK428" s="9"/>
    </row>
    <row r="429" spans="1:39" x14ac:dyDescent="0.3">
      <c r="E429" s="1"/>
      <c r="F429" s="2"/>
      <c r="H429"/>
      <c r="J429"/>
      <c r="P429"/>
      <c r="AB429" s="13"/>
      <c r="AF429" s="9"/>
      <c r="AG429" s="9"/>
      <c r="AH429" s="9"/>
      <c r="AI429" s="9"/>
      <c r="AJ429" s="9"/>
      <c r="AK429" s="9"/>
    </row>
    <row r="430" spans="1:39" x14ac:dyDescent="0.3">
      <c r="E430" s="1"/>
      <c r="F430" s="2"/>
      <c r="H430"/>
      <c r="J430"/>
      <c r="P430"/>
      <c r="W430" s="7"/>
      <c r="AB430" s="13"/>
      <c r="AF430" s="9"/>
      <c r="AG430" s="9"/>
      <c r="AH430" s="9"/>
      <c r="AI430" s="9"/>
      <c r="AJ430" s="9"/>
      <c r="AK430" s="9"/>
    </row>
    <row r="431" spans="1:39" x14ac:dyDescent="0.3">
      <c r="E431" s="1"/>
      <c r="F431" s="2"/>
      <c r="H431"/>
      <c r="J431"/>
      <c r="P431"/>
      <c r="W431" s="7"/>
      <c r="AB431" s="13"/>
      <c r="AF431" s="9"/>
      <c r="AG431" s="9"/>
      <c r="AH431" s="9"/>
      <c r="AI431" s="9"/>
      <c r="AJ431" s="9"/>
      <c r="AK431" s="9"/>
    </row>
    <row r="432" spans="1:39" x14ac:dyDescent="0.3">
      <c r="E432" s="1"/>
      <c r="F432" s="2"/>
      <c r="H432"/>
      <c r="J432"/>
      <c r="P432"/>
      <c r="AB432" s="13"/>
      <c r="AF432" s="9"/>
      <c r="AG432" s="9"/>
      <c r="AH432" s="9"/>
      <c r="AI432" s="9"/>
      <c r="AJ432" s="9"/>
      <c r="AK432" s="9"/>
    </row>
    <row r="433" spans="1:37" x14ac:dyDescent="0.3">
      <c r="E433" s="1"/>
      <c r="F433" s="2"/>
      <c r="H433"/>
      <c r="P433"/>
      <c r="AB433" s="13"/>
      <c r="AF433" s="9"/>
      <c r="AG433" s="9"/>
      <c r="AH433" s="9"/>
      <c r="AI433" s="9"/>
      <c r="AJ433" s="9"/>
      <c r="AK433" s="9"/>
    </row>
    <row r="434" spans="1:37" x14ac:dyDescent="0.3">
      <c r="E434" s="1"/>
      <c r="F434" s="2"/>
      <c r="H434"/>
      <c r="J434"/>
      <c r="K434"/>
      <c r="P434"/>
      <c r="AB434" s="13"/>
      <c r="AF434" s="9"/>
      <c r="AG434" s="9"/>
      <c r="AH434" s="9"/>
      <c r="AI434" s="9"/>
      <c r="AJ434" s="9"/>
      <c r="AK434" s="9"/>
    </row>
    <row r="435" spans="1:37" x14ac:dyDescent="0.3">
      <c r="E435" s="1"/>
      <c r="F435" s="2"/>
      <c r="H435"/>
      <c r="J435"/>
      <c r="P435"/>
      <c r="AB435" s="13"/>
      <c r="AF435" s="9"/>
      <c r="AG435" s="9"/>
      <c r="AH435" s="9"/>
      <c r="AI435" s="9"/>
      <c r="AJ435" s="9"/>
      <c r="AK435" s="9"/>
    </row>
    <row r="436" spans="1:37" x14ac:dyDescent="0.3">
      <c r="E436" s="1"/>
      <c r="F436" s="2"/>
      <c r="H436"/>
      <c r="J436"/>
      <c r="P436"/>
      <c r="AB436" s="13"/>
      <c r="AF436" s="9"/>
      <c r="AG436" s="9"/>
      <c r="AH436" s="9"/>
      <c r="AI436" s="9"/>
      <c r="AJ436" s="9"/>
      <c r="AK436" s="9"/>
    </row>
    <row r="437" spans="1:37" x14ac:dyDescent="0.3">
      <c r="E437" s="1"/>
      <c r="F437" s="2"/>
      <c r="H437"/>
      <c r="P437"/>
      <c r="AB437" s="13"/>
      <c r="AF437" s="9"/>
      <c r="AG437" s="9"/>
      <c r="AH437" s="9"/>
      <c r="AI437" s="9"/>
      <c r="AJ437" s="9"/>
      <c r="AK437" s="9"/>
    </row>
    <row r="438" spans="1:37" x14ac:dyDescent="0.3">
      <c r="A438"/>
      <c r="E438" s="1"/>
      <c r="F438" s="2"/>
      <c r="H438"/>
      <c r="J438"/>
      <c r="P438"/>
      <c r="AB438" s="13"/>
      <c r="AF438" s="9"/>
      <c r="AG438" s="9"/>
      <c r="AH438" s="9"/>
      <c r="AI438" s="9"/>
      <c r="AJ438" s="9"/>
      <c r="AK438" s="9"/>
    </row>
    <row r="439" spans="1:37" x14ac:dyDescent="0.3">
      <c r="E439" s="1"/>
      <c r="F439" s="2"/>
      <c r="H439"/>
      <c r="P439"/>
      <c r="AB439" s="13"/>
      <c r="AF439" s="9"/>
      <c r="AG439" s="9"/>
      <c r="AH439" s="9"/>
      <c r="AI439" s="9"/>
      <c r="AJ439" s="9"/>
      <c r="AK439" s="9"/>
    </row>
    <row r="440" spans="1:37" x14ac:dyDescent="0.3">
      <c r="E440" s="1"/>
      <c r="F440" s="2"/>
      <c r="H440"/>
      <c r="J440"/>
      <c r="P440"/>
      <c r="AB440" s="13"/>
      <c r="AF440" s="9"/>
      <c r="AG440" s="9"/>
      <c r="AH440" s="9"/>
      <c r="AI440" s="9"/>
      <c r="AJ440" s="9"/>
      <c r="AK440" s="9"/>
    </row>
    <row r="441" spans="1:37" x14ac:dyDescent="0.3">
      <c r="E441" s="1"/>
      <c r="F441" s="2"/>
      <c r="H441"/>
      <c r="J441"/>
      <c r="P441"/>
      <c r="AB441" s="13"/>
      <c r="AF441" s="9"/>
      <c r="AG441" s="9"/>
      <c r="AH441" s="9"/>
      <c r="AI441" s="9"/>
      <c r="AJ441" s="9"/>
      <c r="AK441" s="9"/>
    </row>
    <row r="442" spans="1:37" x14ac:dyDescent="0.3">
      <c r="E442" s="1"/>
      <c r="F442" s="2"/>
      <c r="H442"/>
      <c r="J442"/>
      <c r="K442"/>
      <c r="P442"/>
      <c r="W442" s="7"/>
      <c r="AB442" s="13"/>
      <c r="AF442" s="9"/>
      <c r="AG442" s="9"/>
      <c r="AH442" s="9"/>
      <c r="AI442" s="9"/>
      <c r="AJ442" s="9"/>
      <c r="AK442" s="9"/>
    </row>
    <row r="443" spans="1:37" x14ac:dyDescent="0.3">
      <c r="E443" s="1"/>
      <c r="F443" s="2"/>
      <c r="H443"/>
      <c r="J443"/>
      <c r="K443"/>
      <c r="P443"/>
      <c r="W443" s="7"/>
      <c r="AB443" s="13"/>
      <c r="AF443" s="9"/>
      <c r="AG443" s="9"/>
      <c r="AH443" s="9"/>
      <c r="AI443" s="9"/>
      <c r="AJ443" s="9"/>
      <c r="AK443" s="9"/>
    </row>
    <row r="444" spans="1:37" x14ac:dyDescent="0.3">
      <c r="E444" s="1"/>
      <c r="F444" s="2"/>
      <c r="H444"/>
      <c r="P444"/>
      <c r="W444" s="7"/>
      <c r="AB444" s="13"/>
      <c r="AF444" s="9"/>
      <c r="AG444" s="9"/>
      <c r="AH444" s="9"/>
      <c r="AI444" s="9"/>
      <c r="AJ444" s="9"/>
      <c r="AK444" s="9"/>
    </row>
    <row r="445" spans="1:37" x14ac:dyDescent="0.3">
      <c r="E445" s="1"/>
      <c r="F445" s="2"/>
      <c r="H445"/>
      <c r="P445"/>
      <c r="AB445" s="13"/>
      <c r="AF445" s="9"/>
      <c r="AG445" s="9"/>
      <c r="AH445" s="9"/>
      <c r="AI445" s="9"/>
      <c r="AJ445" s="9"/>
      <c r="AK445" s="9"/>
    </row>
    <row r="446" spans="1:37" x14ac:dyDescent="0.3">
      <c r="E446" s="1"/>
      <c r="F446" s="2"/>
      <c r="H446"/>
      <c r="P446"/>
      <c r="AB446" s="13"/>
      <c r="AF446" s="9"/>
      <c r="AG446" s="9"/>
      <c r="AH446" s="9"/>
      <c r="AI446" s="9"/>
      <c r="AJ446" s="9"/>
      <c r="AK446" s="9"/>
    </row>
    <row r="447" spans="1:37" x14ac:dyDescent="0.3">
      <c r="E447" s="1"/>
      <c r="F447" s="2"/>
      <c r="H447"/>
      <c r="J447"/>
      <c r="P447"/>
      <c r="AB447" s="13"/>
      <c r="AF447" s="9"/>
      <c r="AG447" s="9"/>
      <c r="AH447" s="9"/>
      <c r="AI447" s="9"/>
      <c r="AJ447" s="9"/>
      <c r="AK447" s="9"/>
    </row>
    <row r="448" spans="1:37" x14ac:dyDescent="0.3">
      <c r="E448" s="1"/>
      <c r="F448" s="2"/>
      <c r="H448"/>
      <c r="J448"/>
      <c r="P448"/>
      <c r="W448" s="7"/>
      <c r="AB448" s="13"/>
      <c r="AF448" s="9"/>
      <c r="AG448" s="9"/>
      <c r="AH448" s="9"/>
      <c r="AI448" s="9"/>
      <c r="AJ448" s="9"/>
      <c r="AK448" s="9"/>
    </row>
    <row r="449" spans="1:37" x14ac:dyDescent="0.3">
      <c r="E449" s="1"/>
      <c r="F449" s="2"/>
      <c r="H449"/>
      <c r="J449"/>
      <c r="P449"/>
      <c r="W449" s="7"/>
      <c r="AB449" s="13"/>
      <c r="AF449" s="9"/>
      <c r="AG449" s="9"/>
      <c r="AH449" s="9"/>
      <c r="AI449" s="9"/>
      <c r="AJ449" s="9"/>
      <c r="AK449" s="9"/>
    </row>
    <row r="450" spans="1:37" x14ac:dyDescent="0.3">
      <c r="E450" s="1"/>
      <c r="F450" s="2"/>
      <c r="H450"/>
      <c r="J450"/>
      <c r="P450"/>
      <c r="AB450" s="13"/>
      <c r="AF450" s="9"/>
      <c r="AG450" s="9"/>
      <c r="AH450" s="9"/>
      <c r="AI450" s="9"/>
      <c r="AJ450" s="9"/>
      <c r="AK450" s="9"/>
    </row>
    <row r="451" spans="1:37" x14ac:dyDescent="0.3">
      <c r="E451" s="1"/>
      <c r="F451" s="2"/>
      <c r="H451"/>
      <c r="P451"/>
      <c r="AB451" s="13"/>
      <c r="AF451" s="9"/>
      <c r="AG451" s="9"/>
      <c r="AH451" s="9"/>
      <c r="AI451" s="9"/>
      <c r="AJ451" s="9"/>
      <c r="AK451" s="9"/>
    </row>
    <row r="452" spans="1:37" x14ac:dyDescent="0.3">
      <c r="E452" s="1"/>
      <c r="F452" s="2"/>
      <c r="H452"/>
      <c r="J452"/>
      <c r="K452"/>
      <c r="P452"/>
      <c r="AB452" s="13"/>
      <c r="AF452" s="9"/>
      <c r="AG452" s="9"/>
      <c r="AH452" s="9"/>
      <c r="AI452" s="9"/>
      <c r="AJ452" s="9"/>
      <c r="AK452" s="9"/>
    </row>
    <row r="453" spans="1:37" x14ac:dyDescent="0.3">
      <c r="E453" s="1"/>
      <c r="F453" s="2"/>
      <c r="H453"/>
      <c r="J453"/>
      <c r="P453"/>
      <c r="AB453" s="13"/>
      <c r="AF453" s="9"/>
      <c r="AG453" s="9"/>
      <c r="AH453" s="9"/>
      <c r="AI453" s="9"/>
      <c r="AJ453" s="9"/>
      <c r="AK453" s="9"/>
    </row>
    <row r="454" spans="1:37" x14ac:dyDescent="0.3">
      <c r="E454" s="1"/>
      <c r="F454" s="2"/>
      <c r="H454"/>
      <c r="J454"/>
      <c r="P454"/>
      <c r="AB454" s="13"/>
      <c r="AF454" s="9"/>
      <c r="AG454" s="9"/>
      <c r="AH454" s="9"/>
      <c r="AI454" s="9"/>
      <c r="AJ454" s="9"/>
      <c r="AK454" s="9"/>
    </row>
    <row r="455" spans="1:37" x14ac:dyDescent="0.3">
      <c r="E455" s="1"/>
      <c r="F455" s="2"/>
      <c r="H455"/>
      <c r="P455"/>
      <c r="AB455" s="13"/>
      <c r="AF455" s="9"/>
      <c r="AG455" s="9"/>
      <c r="AH455" s="9"/>
      <c r="AI455" s="9"/>
      <c r="AJ455" s="9"/>
      <c r="AK455" s="9"/>
    </row>
    <row r="456" spans="1:37" x14ac:dyDescent="0.3">
      <c r="A456"/>
      <c r="E456" s="1"/>
      <c r="F456" s="2"/>
      <c r="H456"/>
      <c r="J456"/>
      <c r="P456"/>
      <c r="AB456" s="13"/>
      <c r="AF456" s="9"/>
      <c r="AG456" s="9"/>
      <c r="AH456" s="9"/>
      <c r="AI456" s="9"/>
      <c r="AJ456" s="9"/>
      <c r="AK456" s="9"/>
    </row>
    <row r="457" spans="1:37" x14ac:dyDescent="0.3">
      <c r="E457" s="1"/>
      <c r="F457" s="2"/>
      <c r="P457"/>
      <c r="AB457" s="13"/>
      <c r="AF457" s="9"/>
      <c r="AG457" s="9"/>
      <c r="AH457" s="9"/>
      <c r="AI457" s="9"/>
      <c r="AJ457" s="9"/>
      <c r="AK457" s="9"/>
    </row>
    <row r="458" spans="1:37" x14ac:dyDescent="0.3">
      <c r="E458" s="1"/>
      <c r="F458" s="2"/>
      <c r="P458"/>
      <c r="AB458" s="13"/>
      <c r="AF458" s="9"/>
      <c r="AG458" s="9"/>
      <c r="AH458" s="9"/>
      <c r="AI458" s="9"/>
      <c r="AJ458" s="9"/>
      <c r="AK458" s="9"/>
    </row>
    <row r="459" spans="1:37" x14ac:dyDescent="0.3">
      <c r="E459" s="1"/>
      <c r="F459" s="2"/>
      <c r="P459"/>
      <c r="AB459" s="13"/>
      <c r="AF459" s="9"/>
      <c r="AG459" s="9"/>
      <c r="AH459" s="9"/>
      <c r="AI459" s="9"/>
      <c r="AJ459" s="9"/>
      <c r="AK459" s="9"/>
    </row>
    <row r="460" spans="1:37" x14ac:dyDescent="0.3">
      <c r="E460" s="1"/>
      <c r="F460" s="2"/>
      <c r="P460"/>
      <c r="W460" s="7"/>
      <c r="AB460" s="13"/>
      <c r="AF460" s="9"/>
      <c r="AG460" s="9"/>
      <c r="AH460" s="9"/>
      <c r="AI460" s="9"/>
      <c r="AJ460" s="9"/>
      <c r="AK460" s="9"/>
    </row>
    <row r="461" spans="1:37" x14ac:dyDescent="0.3">
      <c r="E461" s="1"/>
      <c r="F461" s="2"/>
      <c r="P461"/>
      <c r="W461" s="7"/>
      <c r="AB461" s="13"/>
      <c r="AF461" s="9"/>
      <c r="AG461" s="9"/>
      <c r="AH461" s="9"/>
      <c r="AI461" s="9"/>
      <c r="AJ461" s="9"/>
      <c r="AK461" s="9"/>
    </row>
    <row r="462" spans="1:37" x14ac:dyDescent="0.3">
      <c r="E462" s="1"/>
      <c r="F462" s="2"/>
      <c r="P462"/>
      <c r="W462" s="7"/>
      <c r="AB462" s="13"/>
      <c r="AF462" s="9"/>
      <c r="AG462" s="9"/>
      <c r="AH462" s="9"/>
      <c r="AI462" s="9"/>
      <c r="AJ462" s="9"/>
      <c r="AK462" s="9"/>
    </row>
    <row r="463" spans="1:37" x14ac:dyDescent="0.3">
      <c r="E463" s="1"/>
      <c r="F463" s="2"/>
      <c r="P463"/>
      <c r="AB463" s="13"/>
      <c r="AF463" s="9"/>
      <c r="AG463" s="9"/>
      <c r="AH463" s="9"/>
      <c r="AI463" s="9"/>
      <c r="AJ463" s="9"/>
      <c r="AK463" s="9"/>
    </row>
    <row r="464" spans="1:37" x14ac:dyDescent="0.3">
      <c r="E464" s="1"/>
      <c r="F464" s="2"/>
      <c r="P464"/>
      <c r="AB464" s="13"/>
      <c r="AF464" s="9"/>
      <c r="AG464" s="9"/>
      <c r="AH464" s="9"/>
      <c r="AI464" s="9"/>
      <c r="AJ464" s="9"/>
      <c r="AK464" s="9"/>
    </row>
    <row r="465" spans="5:37" x14ac:dyDescent="0.3">
      <c r="E465" s="1"/>
      <c r="F465" s="2"/>
      <c r="P465"/>
      <c r="AB465" s="13"/>
      <c r="AF465" s="9"/>
      <c r="AG465" s="9"/>
      <c r="AH465" s="9"/>
      <c r="AI465" s="9"/>
      <c r="AJ465" s="9"/>
      <c r="AK465" s="9"/>
    </row>
    <row r="466" spans="5:37" x14ac:dyDescent="0.3">
      <c r="E466" s="1"/>
      <c r="F466" s="2"/>
      <c r="P466"/>
      <c r="W466" s="7"/>
      <c r="AB466" s="13"/>
      <c r="AF466" s="9"/>
      <c r="AG466" s="9"/>
      <c r="AH466" s="9"/>
      <c r="AI466" s="9"/>
      <c r="AJ466" s="9"/>
      <c r="AK466" s="9"/>
    </row>
    <row r="467" spans="5:37" x14ac:dyDescent="0.3">
      <c r="E467" s="1"/>
      <c r="F467" s="2"/>
      <c r="P467"/>
      <c r="W467" s="7"/>
      <c r="AB467" s="13"/>
      <c r="AF467" s="9"/>
      <c r="AG467" s="9"/>
      <c r="AH467" s="9"/>
      <c r="AI467" s="9"/>
      <c r="AJ467" s="9"/>
      <c r="AK467" s="9"/>
    </row>
    <row r="468" spans="5:37" x14ac:dyDescent="0.3">
      <c r="E468" s="1"/>
      <c r="F468" s="2"/>
      <c r="P468"/>
      <c r="AB468" s="13"/>
      <c r="AF468" s="9"/>
      <c r="AG468" s="9"/>
      <c r="AH468" s="9"/>
      <c r="AI468" s="9"/>
      <c r="AJ468" s="9"/>
      <c r="AK468" s="9"/>
    </row>
    <row r="469" spans="5:37" x14ac:dyDescent="0.3">
      <c r="E469" s="1"/>
      <c r="F469" s="2"/>
      <c r="P469"/>
      <c r="AB469" s="13"/>
      <c r="AF469" s="9"/>
      <c r="AG469" s="9"/>
      <c r="AH469" s="9"/>
      <c r="AI469" s="9"/>
      <c r="AJ469" s="9"/>
      <c r="AK469" s="9"/>
    </row>
    <row r="470" spans="5:37" x14ac:dyDescent="0.3">
      <c r="E470" s="1"/>
      <c r="F470" s="2"/>
      <c r="P470"/>
      <c r="AB470" s="13"/>
      <c r="AF470" s="9"/>
      <c r="AG470" s="9"/>
      <c r="AH470" s="9"/>
      <c r="AI470" s="9"/>
      <c r="AJ470" s="9"/>
      <c r="AK470" s="9"/>
    </row>
    <row r="471" spans="5:37" x14ac:dyDescent="0.3">
      <c r="E471" s="1"/>
      <c r="F471" s="2"/>
      <c r="P471"/>
      <c r="AB471" s="13"/>
      <c r="AF471" s="9"/>
      <c r="AG471" s="9"/>
      <c r="AH471" s="9"/>
      <c r="AI471" s="9"/>
      <c r="AJ471" s="9"/>
      <c r="AK471" s="9"/>
    </row>
    <row r="472" spans="5:37" x14ac:dyDescent="0.3">
      <c r="E472" s="1"/>
      <c r="F472" s="2"/>
      <c r="P472"/>
      <c r="AB472" s="13"/>
      <c r="AF472" s="9"/>
      <c r="AG472" s="9"/>
      <c r="AH472" s="9"/>
      <c r="AI472" s="9"/>
      <c r="AJ472" s="9"/>
      <c r="AK472" s="9"/>
    </row>
    <row r="473" spans="5:37" x14ac:dyDescent="0.3">
      <c r="E473" s="1"/>
      <c r="F473" s="2"/>
      <c r="P473"/>
      <c r="AB473" s="13"/>
      <c r="AF473" s="9"/>
      <c r="AG473" s="9"/>
      <c r="AH473" s="9"/>
      <c r="AI473" s="9"/>
      <c r="AJ473" s="9"/>
      <c r="AK473" s="9"/>
    </row>
    <row r="474" spans="5:37" x14ac:dyDescent="0.3">
      <c r="E474" s="1"/>
      <c r="F474" s="2"/>
      <c r="P474"/>
      <c r="AB474" s="13"/>
      <c r="AF474" s="9"/>
      <c r="AG474" s="9"/>
      <c r="AH474" s="9"/>
      <c r="AI474" s="9"/>
      <c r="AJ474" s="9"/>
      <c r="AK474" s="9"/>
    </row>
    <row r="475" spans="5:37" x14ac:dyDescent="0.3">
      <c r="E475" s="1"/>
      <c r="F475" s="2"/>
      <c r="P475"/>
      <c r="AB475" s="13"/>
      <c r="AF475" s="9"/>
      <c r="AG475" s="9"/>
      <c r="AH475" s="9"/>
      <c r="AI475" s="9"/>
      <c r="AJ475" s="9"/>
      <c r="AK475" s="9"/>
    </row>
    <row r="476" spans="5:37" x14ac:dyDescent="0.3">
      <c r="E476" s="1"/>
      <c r="F476" s="2"/>
      <c r="P476"/>
      <c r="AB476" s="13"/>
      <c r="AF476" s="9"/>
      <c r="AG476" s="9"/>
      <c r="AH476" s="9"/>
      <c r="AI476" s="9"/>
      <c r="AJ476" s="9"/>
      <c r="AK476" s="9"/>
    </row>
    <row r="477" spans="5:37" x14ac:dyDescent="0.3">
      <c r="E477" s="1"/>
      <c r="F477" s="2"/>
      <c r="P477"/>
      <c r="AB477" s="13"/>
      <c r="AF477" s="9"/>
      <c r="AG477" s="9"/>
      <c r="AH477" s="9"/>
      <c r="AI477" s="9"/>
      <c r="AJ477" s="9"/>
      <c r="AK477" s="9"/>
    </row>
    <row r="478" spans="5:37" x14ac:dyDescent="0.3">
      <c r="E478" s="1"/>
      <c r="F478" s="2"/>
      <c r="P478"/>
      <c r="AB478" s="13"/>
      <c r="AF478" s="9"/>
      <c r="AG478" s="9"/>
      <c r="AH478" s="9"/>
      <c r="AI478" s="9"/>
      <c r="AJ478" s="9"/>
      <c r="AK478" s="9"/>
    </row>
    <row r="479" spans="5:37" x14ac:dyDescent="0.3">
      <c r="E479" s="1"/>
      <c r="F479" s="2"/>
      <c r="P479"/>
      <c r="AB479" s="13"/>
      <c r="AF479" s="9"/>
      <c r="AG479" s="9"/>
      <c r="AH479" s="9"/>
      <c r="AI479" s="9"/>
      <c r="AJ479" s="9"/>
      <c r="AK479" s="9"/>
    </row>
    <row r="480" spans="5:37" x14ac:dyDescent="0.3">
      <c r="E480" s="1"/>
      <c r="F480" s="2"/>
      <c r="P480"/>
      <c r="AB480" s="13"/>
      <c r="AF480" s="9"/>
      <c r="AG480" s="9"/>
      <c r="AH480" s="9"/>
      <c r="AI480" s="9"/>
      <c r="AJ480" s="9"/>
      <c r="AK480" s="9"/>
    </row>
    <row r="481" spans="5:37" x14ac:dyDescent="0.3">
      <c r="E481" s="1"/>
      <c r="F481" s="2"/>
      <c r="P481"/>
      <c r="AB481" s="13"/>
      <c r="AF481" s="9"/>
      <c r="AG481" s="9"/>
      <c r="AH481" s="9"/>
      <c r="AI481" s="9"/>
      <c r="AJ481" s="9"/>
      <c r="AK481" s="9"/>
    </row>
    <row r="482" spans="5:37" x14ac:dyDescent="0.3">
      <c r="E482" s="1"/>
      <c r="F482" s="2"/>
      <c r="P482"/>
      <c r="AB482" s="13"/>
      <c r="AF482" s="9"/>
      <c r="AG482" s="9"/>
      <c r="AH482" s="9"/>
      <c r="AI482" s="9"/>
      <c r="AJ482" s="9"/>
      <c r="AK482" s="9"/>
    </row>
    <row r="483" spans="5:37" x14ac:dyDescent="0.3">
      <c r="E483" s="1"/>
      <c r="F483" s="2"/>
      <c r="P483"/>
      <c r="AB483" s="13"/>
      <c r="AF483" s="9"/>
      <c r="AG483" s="9"/>
      <c r="AH483" s="9"/>
      <c r="AI483" s="9"/>
      <c r="AJ483" s="9"/>
      <c r="AK483" s="9"/>
    </row>
    <row r="484" spans="5:37" x14ac:dyDescent="0.3">
      <c r="E484" s="1"/>
      <c r="F484" s="2"/>
      <c r="P484"/>
      <c r="AB484" s="13"/>
      <c r="AF484" s="9"/>
      <c r="AG484" s="9"/>
      <c r="AH484" s="9"/>
      <c r="AI484" s="9"/>
      <c r="AJ484" s="9"/>
      <c r="AK484" s="9"/>
    </row>
    <row r="485" spans="5:37" x14ac:dyDescent="0.3">
      <c r="E485" s="1"/>
      <c r="F485" s="2"/>
      <c r="P485"/>
      <c r="AB485" s="13"/>
      <c r="AF485" s="9"/>
      <c r="AG485" s="9"/>
      <c r="AH485" s="9"/>
      <c r="AI485" s="9"/>
      <c r="AJ485" s="9"/>
      <c r="AK485" s="9"/>
    </row>
    <row r="486" spans="5:37" x14ac:dyDescent="0.3">
      <c r="E486" s="1"/>
      <c r="F486" s="2"/>
      <c r="P486"/>
      <c r="AB486" s="13"/>
      <c r="AF486" s="9"/>
      <c r="AG486" s="9"/>
      <c r="AH486" s="9"/>
      <c r="AI486" s="9"/>
      <c r="AJ486" s="9"/>
      <c r="AK486" s="9"/>
    </row>
    <row r="487" spans="5:37" x14ac:dyDescent="0.3">
      <c r="E487" s="1"/>
      <c r="F487" s="2"/>
      <c r="P487"/>
      <c r="AB487" s="13"/>
      <c r="AF487" s="9"/>
      <c r="AG487" s="9"/>
      <c r="AH487" s="9"/>
      <c r="AI487" s="9"/>
      <c r="AJ487" s="9"/>
      <c r="AK487" s="9"/>
    </row>
    <row r="488" spans="5:37" x14ac:dyDescent="0.3">
      <c r="E488" s="1"/>
      <c r="F488" s="2"/>
      <c r="P488"/>
      <c r="AB488" s="13"/>
      <c r="AF488" s="9"/>
      <c r="AG488" s="9"/>
      <c r="AH488" s="9"/>
      <c r="AI488" s="9"/>
      <c r="AJ488" s="9"/>
      <c r="AK488" s="9"/>
    </row>
    <row r="489" spans="5:37" x14ac:dyDescent="0.3">
      <c r="E489" s="1"/>
      <c r="F489" s="2"/>
      <c r="P489"/>
      <c r="AB489" s="13"/>
      <c r="AF489" s="9"/>
      <c r="AG489" s="9"/>
      <c r="AH489" s="9"/>
      <c r="AI489" s="9"/>
      <c r="AJ489" s="9"/>
      <c r="AK489" s="9"/>
    </row>
    <row r="490" spans="5:37" x14ac:dyDescent="0.3">
      <c r="E490" s="1"/>
      <c r="F490" s="2"/>
      <c r="P490"/>
      <c r="W490" s="7"/>
      <c r="AB490" s="13"/>
      <c r="AF490" s="9"/>
      <c r="AG490" s="9"/>
      <c r="AH490" s="9"/>
      <c r="AI490" s="9"/>
      <c r="AJ490" s="9"/>
      <c r="AK490" s="9"/>
    </row>
    <row r="491" spans="5:37" x14ac:dyDescent="0.3">
      <c r="E491" s="1"/>
      <c r="F491" s="2"/>
      <c r="P491"/>
      <c r="W491" s="7"/>
      <c r="AB491" s="13"/>
      <c r="AF491" s="9"/>
      <c r="AG491" s="9"/>
      <c r="AH491" s="9"/>
      <c r="AI491" s="9"/>
      <c r="AJ491" s="9"/>
      <c r="AK491" s="9"/>
    </row>
    <row r="492" spans="5:37" x14ac:dyDescent="0.3">
      <c r="E492" s="1"/>
      <c r="F492" s="2"/>
      <c r="P492"/>
      <c r="W492" s="7"/>
      <c r="AB492" s="13"/>
      <c r="AF492" s="9"/>
      <c r="AG492" s="9"/>
      <c r="AH492" s="9"/>
      <c r="AI492" s="9"/>
      <c r="AJ492" s="9"/>
      <c r="AK492" s="9"/>
    </row>
    <row r="493" spans="5:37" x14ac:dyDescent="0.3">
      <c r="E493" s="1"/>
      <c r="F493" s="2"/>
      <c r="P493"/>
      <c r="AB493" s="13"/>
      <c r="AF493" s="9"/>
      <c r="AG493" s="9"/>
      <c r="AH493" s="9"/>
      <c r="AI493" s="9"/>
      <c r="AJ493" s="9"/>
      <c r="AK493" s="9"/>
    </row>
    <row r="494" spans="5:37" x14ac:dyDescent="0.3">
      <c r="E494" s="1"/>
      <c r="F494" s="2"/>
      <c r="P494"/>
      <c r="AB494" s="13"/>
      <c r="AF494" s="9"/>
      <c r="AG494" s="9"/>
      <c r="AH494" s="9"/>
      <c r="AI494" s="9"/>
      <c r="AJ494" s="9"/>
      <c r="AK494" s="9"/>
    </row>
    <row r="495" spans="5:37" x14ac:dyDescent="0.3">
      <c r="E495" s="1"/>
      <c r="F495" s="2"/>
      <c r="P495"/>
      <c r="AB495" s="13"/>
      <c r="AF495" s="9"/>
      <c r="AG495" s="9"/>
      <c r="AH495" s="9"/>
      <c r="AI495" s="9"/>
      <c r="AJ495" s="9"/>
      <c r="AK495" s="9"/>
    </row>
    <row r="496" spans="5:37" x14ac:dyDescent="0.3">
      <c r="E496" s="1"/>
      <c r="F496" s="2"/>
      <c r="P496"/>
      <c r="W496" s="7"/>
      <c r="AB496" s="13"/>
      <c r="AF496" s="9"/>
      <c r="AG496" s="9"/>
      <c r="AH496" s="9"/>
      <c r="AI496" s="9"/>
      <c r="AJ496" s="9"/>
      <c r="AK496" s="9"/>
    </row>
    <row r="497" spans="5:37" x14ac:dyDescent="0.3">
      <c r="E497" s="1"/>
      <c r="F497" s="2"/>
      <c r="P497"/>
      <c r="W497" s="7"/>
      <c r="AB497" s="13"/>
      <c r="AF497" s="9"/>
      <c r="AG497" s="9"/>
      <c r="AH497" s="9"/>
      <c r="AI497" s="9"/>
      <c r="AJ497" s="9"/>
      <c r="AK497" s="9"/>
    </row>
    <row r="498" spans="5:37" x14ac:dyDescent="0.3">
      <c r="E498" s="1"/>
      <c r="F498" s="2"/>
      <c r="P498"/>
      <c r="AB498" s="13"/>
      <c r="AF498" s="9"/>
      <c r="AG498" s="9"/>
      <c r="AH498" s="9"/>
      <c r="AI498" s="9"/>
      <c r="AJ498" s="9"/>
      <c r="AK498" s="9"/>
    </row>
    <row r="499" spans="5:37" x14ac:dyDescent="0.3">
      <c r="E499" s="1"/>
      <c r="F499" s="2"/>
      <c r="P499"/>
      <c r="AB499" s="13"/>
      <c r="AF499" s="9"/>
      <c r="AG499" s="9"/>
      <c r="AH499" s="9"/>
      <c r="AI499" s="9"/>
      <c r="AJ499" s="9"/>
      <c r="AK499" s="9"/>
    </row>
    <row r="500" spans="5:37" x14ac:dyDescent="0.3">
      <c r="E500" s="1"/>
      <c r="F500" s="2"/>
      <c r="P500"/>
      <c r="AB500" s="13"/>
      <c r="AF500" s="9"/>
      <c r="AG500" s="9"/>
      <c r="AH500" s="9"/>
      <c r="AI500" s="9"/>
      <c r="AJ500" s="9"/>
      <c r="AK500" s="9"/>
    </row>
    <row r="501" spans="5:37" x14ac:dyDescent="0.3">
      <c r="E501" s="1"/>
      <c r="F501" s="2"/>
      <c r="P501"/>
      <c r="AB501" s="13"/>
      <c r="AF501" s="9"/>
      <c r="AG501" s="9"/>
      <c r="AH501" s="9"/>
      <c r="AI501" s="9"/>
      <c r="AJ501" s="9"/>
      <c r="AK501" s="9"/>
    </row>
    <row r="502" spans="5:37" x14ac:dyDescent="0.3">
      <c r="E502" s="1"/>
      <c r="F502" s="2"/>
      <c r="P502"/>
      <c r="AB502" s="13"/>
      <c r="AF502" s="9"/>
      <c r="AG502" s="9"/>
      <c r="AH502" s="9"/>
      <c r="AI502" s="9"/>
      <c r="AJ502" s="9"/>
      <c r="AK502" s="9"/>
    </row>
    <row r="503" spans="5:37" x14ac:dyDescent="0.3">
      <c r="E503" s="1"/>
      <c r="F503" s="2"/>
      <c r="P503"/>
      <c r="AB503" s="13"/>
      <c r="AF503" s="9"/>
      <c r="AG503" s="9"/>
      <c r="AH503" s="9"/>
      <c r="AI503" s="9"/>
      <c r="AJ503" s="9"/>
      <c r="AK503" s="9"/>
    </row>
    <row r="504" spans="5:37" x14ac:dyDescent="0.3">
      <c r="E504" s="1"/>
      <c r="F504" s="2"/>
      <c r="P504"/>
      <c r="AB504" s="13"/>
      <c r="AF504" s="9"/>
      <c r="AG504" s="9"/>
      <c r="AH504" s="9"/>
      <c r="AI504" s="9"/>
      <c r="AJ504" s="9"/>
      <c r="AK504" s="9"/>
    </row>
    <row r="505" spans="5:37" x14ac:dyDescent="0.3">
      <c r="E505" s="1"/>
      <c r="F505" s="2"/>
      <c r="P505"/>
      <c r="AB505" s="13"/>
      <c r="AF505" s="9"/>
      <c r="AG505" s="9"/>
      <c r="AH505" s="9"/>
      <c r="AI505" s="9"/>
      <c r="AJ505" s="9"/>
      <c r="AK505" s="9"/>
    </row>
    <row r="506" spans="5:37" x14ac:dyDescent="0.3">
      <c r="E506" s="1"/>
      <c r="F506" s="2"/>
      <c r="P506"/>
      <c r="AB506" s="13"/>
      <c r="AF506" s="9"/>
      <c r="AG506" s="9"/>
      <c r="AH506" s="9"/>
      <c r="AI506" s="9"/>
      <c r="AJ506" s="9"/>
      <c r="AK506" s="9"/>
    </row>
    <row r="507" spans="5:37" x14ac:dyDescent="0.3">
      <c r="E507" s="1"/>
      <c r="F507" s="2"/>
      <c r="P507"/>
      <c r="AB507" s="13"/>
      <c r="AF507" s="9"/>
      <c r="AG507" s="9"/>
      <c r="AH507" s="9"/>
      <c r="AI507" s="9"/>
      <c r="AJ507" s="9"/>
      <c r="AK507" s="9"/>
    </row>
    <row r="508" spans="5:37" x14ac:dyDescent="0.3">
      <c r="E508" s="1"/>
      <c r="F508" s="2"/>
      <c r="P508"/>
      <c r="AB508" s="13"/>
      <c r="AF508" s="9"/>
      <c r="AG508" s="9"/>
      <c r="AH508" s="9"/>
      <c r="AI508" s="9"/>
      <c r="AJ508" s="9"/>
      <c r="AK508" s="9"/>
    </row>
    <row r="509" spans="5:37" x14ac:dyDescent="0.3">
      <c r="E509" s="1"/>
      <c r="F509" s="2"/>
      <c r="P509"/>
      <c r="AB509" s="13"/>
      <c r="AF509" s="9"/>
      <c r="AG509" s="9"/>
      <c r="AH509" s="9"/>
      <c r="AI509" s="9"/>
      <c r="AJ509" s="9"/>
      <c r="AK509" s="9"/>
    </row>
    <row r="510" spans="5:37" x14ac:dyDescent="0.3">
      <c r="E510" s="1"/>
      <c r="F510" s="2"/>
      <c r="P510"/>
      <c r="AB510" s="13"/>
      <c r="AF510" s="9"/>
      <c r="AG510" s="9"/>
      <c r="AH510" s="9"/>
      <c r="AI510" s="9"/>
      <c r="AJ510" s="9"/>
      <c r="AK510" s="9"/>
    </row>
    <row r="511" spans="5:37" x14ac:dyDescent="0.3">
      <c r="E511" s="1"/>
      <c r="F511" s="2"/>
      <c r="P511"/>
      <c r="AB511" s="13"/>
      <c r="AF511" s="9"/>
      <c r="AG511" s="9"/>
      <c r="AH511" s="9"/>
      <c r="AI511" s="9"/>
      <c r="AJ511" s="9"/>
      <c r="AK511" s="9"/>
    </row>
    <row r="512" spans="5:37" x14ac:dyDescent="0.3">
      <c r="E512" s="1"/>
      <c r="F512" s="2"/>
      <c r="P512"/>
      <c r="AB512" s="13"/>
      <c r="AF512" s="9"/>
      <c r="AG512" s="9"/>
      <c r="AH512" s="9"/>
      <c r="AI512" s="9"/>
      <c r="AJ512" s="9"/>
      <c r="AK512" s="9"/>
    </row>
    <row r="513" spans="5:37" x14ac:dyDescent="0.3">
      <c r="E513" s="1"/>
      <c r="F513" s="2"/>
      <c r="P513"/>
      <c r="AB513" s="13"/>
      <c r="AF513" s="9"/>
      <c r="AG513" s="9"/>
      <c r="AH513" s="9"/>
      <c r="AI513" s="9"/>
      <c r="AJ513" s="9"/>
      <c r="AK513" s="9"/>
    </row>
    <row r="514" spans="5:37" x14ac:dyDescent="0.3">
      <c r="E514" s="1"/>
      <c r="F514" s="2"/>
      <c r="P514"/>
      <c r="AB514" s="13"/>
      <c r="AF514" s="9"/>
      <c r="AG514" s="9"/>
      <c r="AH514" s="9"/>
      <c r="AI514" s="9"/>
      <c r="AJ514" s="9"/>
      <c r="AK514" s="9"/>
    </row>
    <row r="515" spans="5:37" x14ac:dyDescent="0.3">
      <c r="E515" s="1"/>
      <c r="F515" s="2"/>
      <c r="P515"/>
      <c r="AB515" s="13"/>
      <c r="AF515" s="9"/>
      <c r="AG515" s="9"/>
      <c r="AH515" s="9"/>
      <c r="AI515" s="9"/>
      <c r="AJ515" s="9"/>
      <c r="AK515" s="9"/>
    </row>
    <row r="516" spans="5:37" x14ac:dyDescent="0.3">
      <c r="E516" s="1"/>
      <c r="F516" s="2"/>
      <c r="P516"/>
      <c r="AB516" s="13"/>
      <c r="AF516" s="9"/>
      <c r="AG516" s="9"/>
      <c r="AH516" s="9"/>
      <c r="AI516" s="9"/>
      <c r="AJ516" s="9"/>
      <c r="AK516" s="9"/>
    </row>
    <row r="517" spans="5:37" x14ac:dyDescent="0.3">
      <c r="E517" s="1"/>
      <c r="F517" s="2"/>
      <c r="P517"/>
      <c r="AB517" s="13"/>
      <c r="AF517" s="9"/>
      <c r="AG517" s="9"/>
      <c r="AH517" s="9"/>
      <c r="AI517" s="9"/>
      <c r="AJ517" s="9"/>
      <c r="AK517" s="9"/>
    </row>
    <row r="518" spans="5:37" x14ac:dyDescent="0.3">
      <c r="E518" s="1"/>
      <c r="F518" s="2"/>
      <c r="P518"/>
      <c r="AB518" s="13"/>
      <c r="AF518" s="9"/>
      <c r="AG518" s="9"/>
      <c r="AH518" s="9"/>
      <c r="AI518" s="9"/>
      <c r="AJ518" s="9"/>
      <c r="AK518" s="9"/>
    </row>
    <row r="519" spans="5:37" x14ac:dyDescent="0.3">
      <c r="E519" s="1"/>
      <c r="F519" s="2"/>
      <c r="P519"/>
      <c r="AB519" s="13"/>
      <c r="AF519" s="9"/>
      <c r="AG519" s="9"/>
      <c r="AH519" s="9"/>
      <c r="AI519" s="9"/>
      <c r="AJ519" s="9"/>
      <c r="AK519" s="9"/>
    </row>
    <row r="520" spans="5:37" x14ac:dyDescent="0.3">
      <c r="E520" s="1"/>
      <c r="F520" s="2"/>
      <c r="P520"/>
      <c r="W520" s="7"/>
      <c r="AB520" s="13"/>
      <c r="AF520" s="9"/>
      <c r="AG520" s="9"/>
      <c r="AH520" s="9"/>
      <c r="AI520" s="9"/>
      <c r="AJ520" s="9"/>
      <c r="AK520" s="9"/>
    </row>
    <row r="521" spans="5:37" x14ac:dyDescent="0.3">
      <c r="E521" s="1"/>
      <c r="F521" s="2"/>
      <c r="P521"/>
      <c r="W521" s="7"/>
      <c r="AB521" s="13"/>
      <c r="AF521" s="9"/>
      <c r="AG521" s="9"/>
      <c r="AH521" s="9"/>
      <c r="AI521" s="9"/>
      <c r="AJ521" s="9"/>
      <c r="AK521" s="9"/>
    </row>
    <row r="522" spans="5:37" x14ac:dyDescent="0.3">
      <c r="E522" s="1"/>
      <c r="F522" s="2"/>
      <c r="P522"/>
      <c r="W522" s="7"/>
      <c r="AB522" s="13"/>
      <c r="AF522" s="9"/>
      <c r="AG522" s="9"/>
      <c r="AH522" s="9"/>
      <c r="AI522" s="9"/>
      <c r="AJ522" s="9"/>
      <c r="AK522" s="9"/>
    </row>
    <row r="523" spans="5:37" x14ac:dyDescent="0.3">
      <c r="E523" s="1"/>
      <c r="F523" s="2"/>
      <c r="P523"/>
      <c r="AB523" s="13"/>
      <c r="AF523" s="9"/>
      <c r="AG523" s="9"/>
      <c r="AH523" s="9"/>
      <c r="AI523" s="9"/>
      <c r="AJ523" s="9"/>
      <c r="AK523" s="9"/>
    </row>
    <row r="524" spans="5:37" x14ac:dyDescent="0.3">
      <c r="E524" s="1"/>
      <c r="F524" s="2"/>
      <c r="P524"/>
      <c r="AB524" s="13"/>
      <c r="AF524" s="9"/>
      <c r="AG524" s="9"/>
      <c r="AH524" s="9"/>
      <c r="AI524" s="9"/>
      <c r="AJ524" s="9"/>
      <c r="AK524" s="9"/>
    </row>
    <row r="525" spans="5:37" x14ac:dyDescent="0.3">
      <c r="E525" s="1"/>
      <c r="F525" s="2"/>
      <c r="P525"/>
      <c r="AB525" s="13"/>
      <c r="AF525" s="9"/>
      <c r="AG525" s="9"/>
      <c r="AH525" s="9"/>
      <c r="AI525" s="9"/>
      <c r="AJ525" s="9"/>
      <c r="AK525" s="9"/>
    </row>
    <row r="526" spans="5:37" x14ac:dyDescent="0.3">
      <c r="E526" s="1"/>
      <c r="F526" s="2"/>
      <c r="P526"/>
      <c r="W526" s="7"/>
      <c r="AB526" s="13"/>
      <c r="AF526" s="9"/>
      <c r="AG526" s="9"/>
      <c r="AH526" s="9"/>
      <c r="AI526" s="9"/>
      <c r="AJ526" s="9"/>
      <c r="AK526" s="9"/>
    </row>
    <row r="527" spans="5:37" x14ac:dyDescent="0.3">
      <c r="E527" s="1"/>
      <c r="F527" s="2"/>
      <c r="P527"/>
      <c r="W527" s="7"/>
      <c r="AB527" s="13"/>
      <c r="AF527" s="9"/>
      <c r="AG527" s="9"/>
      <c r="AH527" s="9"/>
      <c r="AI527" s="9"/>
      <c r="AJ527" s="9"/>
      <c r="AK527" s="9"/>
    </row>
    <row r="528" spans="5:37" x14ac:dyDescent="0.3">
      <c r="E528" s="1"/>
      <c r="F528" s="2"/>
      <c r="P528"/>
      <c r="AB528" s="13"/>
      <c r="AF528" s="9"/>
      <c r="AG528" s="9"/>
      <c r="AH528" s="9"/>
      <c r="AI528" s="9"/>
      <c r="AJ528" s="9"/>
      <c r="AK528" s="9"/>
    </row>
    <row r="529" spans="5:37" x14ac:dyDescent="0.3">
      <c r="E529" s="1"/>
      <c r="F529" s="2"/>
      <c r="P529"/>
      <c r="AB529" s="13"/>
      <c r="AF529" s="9"/>
      <c r="AG529" s="9"/>
      <c r="AH529" s="9"/>
      <c r="AI529" s="9"/>
      <c r="AJ529" s="9"/>
      <c r="AK529" s="9"/>
    </row>
    <row r="530" spans="5:37" x14ac:dyDescent="0.3">
      <c r="E530" s="1"/>
      <c r="F530" s="2"/>
      <c r="P530"/>
      <c r="AB530" s="13"/>
      <c r="AF530" s="9"/>
      <c r="AG530" s="9"/>
      <c r="AH530" s="9"/>
      <c r="AI530" s="9"/>
      <c r="AJ530" s="9"/>
      <c r="AK530" s="9"/>
    </row>
    <row r="531" spans="5:37" x14ac:dyDescent="0.3">
      <c r="E531" s="1"/>
      <c r="F531" s="2"/>
      <c r="P531"/>
      <c r="AB531" s="13"/>
      <c r="AF531" s="9"/>
      <c r="AG531" s="9"/>
      <c r="AH531" s="9"/>
      <c r="AI531" s="9"/>
      <c r="AJ531" s="9"/>
      <c r="AK531" s="9"/>
    </row>
    <row r="532" spans="5:37" x14ac:dyDescent="0.3">
      <c r="E532" s="1"/>
      <c r="F532" s="2"/>
      <c r="P532"/>
      <c r="AB532" s="13"/>
      <c r="AF532" s="9"/>
      <c r="AG532" s="9"/>
      <c r="AH532" s="9"/>
      <c r="AI532" s="9"/>
      <c r="AJ532" s="9"/>
      <c r="AK532" s="9"/>
    </row>
    <row r="533" spans="5:37" x14ac:dyDescent="0.3">
      <c r="E533" s="1"/>
      <c r="F533" s="2"/>
      <c r="P533"/>
      <c r="AB533" s="13"/>
      <c r="AF533" s="9"/>
      <c r="AG533" s="9"/>
      <c r="AH533" s="9"/>
      <c r="AI533" s="9"/>
      <c r="AJ533" s="9"/>
      <c r="AK533" s="9"/>
    </row>
    <row r="534" spans="5:37" x14ac:dyDescent="0.3">
      <c r="E534" s="1"/>
      <c r="F534" s="2"/>
      <c r="P534"/>
      <c r="AB534" s="13"/>
      <c r="AF534" s="9"/>
      <c r="AG534" s="9"/>
      <c r="AH534" s="9"/>
      <c r="AI534" s="9"/>
      <c r="AJ534" s="9"/>
      <c r="AK534" s="9"/>
    </row>
    <row r="535" spans="5:37" x14ac:dyDescent="0.3">
      <c r="E535" s="1"/>
      <c r="F535" s="2"/>
      <c r="P535"/>
      <c r="AB535" s="13"/>
      <c r="AF535" s="9"/>
      <c r="AG535" s="9"/>
      <c r="AH535" s="9"/>
      <c r="AI535" s="9"/>
      <c r="AJ535" s="9"/>
      <c r="AK535" s="9"/>
    </row>
    <row r="536" spans="5:37" x14ac:dyDescent="0.3">
      <c r="E536" s="1"/>
      <c r="F536" s="2"/>
      <c r="P536"/>
      <c r="AB536" s="13"/>
      <c r="AF536" s="9"/>
      <c r="AG536" s="9"/>
      <c r="AH536" s="9"/>
      <c r="AI536" s="9"/>
      <c r="AJ536" s="9"/>
      <c r="AK536" s="9"/>
    </row>
    <row r="537" spans="5:37" x14ac:dyDescent="0.3">
      <c r="E537" s="1"/>
      <c r="F537" s="2"/>
      <c r="P537"/>
      <c r="AB537" s="13"/>
      <c r="AF537" s="9"/>
      <c r="AG537" s="9"/>
      <c r="AH537" s="9"/>
      <c r="AI537" s="9"/>
      <c r="AJ537" s="9"/>
      <c r="AK537" s="9"/>
    </row>
    <row r="538" spans="5:37" x14ac:dyDescent="0.3">
      <c r="E538" s="1"/>
      <c r="F538" s="2"/>
      <c r="P538"/>
      <c r="AB538" s="13"/>
      <c r="AF538" s="9"/>
      <c r="AG538" s="9"/>
      <c r="AH538" s="9"/>
      <c r="AI538" s="9"/>
      <c r="AJ538" s="9"/>
      <c r="AK538" s="9"/>
    </row>
    <row r="539" spans="5:37" x14ac:dyDescent="0.3">
      <c r="E539" s="1"/>
      <c r="F539" s="2"/>
      <c r="P539"/>
      <c r="AB539" s="13"/>
      <c r="AF539" s="9"/>
      <c r="AG539" s="9"/>
      <c r="AH539" s="9"/>
      <c r="AI539" s="9"/>
      <c r="AJ539" s="9"/>
      <c r="AK539" s="9"/>
    </row>
    <row r="540" spans="5:37" x14ac:dyDescent="0.3">
      <c r="E540" s="1"/>
      <c r="F540" s="2"/>
      <c r="P540"/>
      <c r="AB540" s="13"/>
      <c r="AF540" s="9"/>
      <c r="AG540" s="9"/>
      <c r="AH540" s="9"/>
      <c r="AI540" s="9"/>
      <c r="AJ540" s="9"/>
      <c r="AK540" s="9"/>
    </row>
    <row r="541" spans="5:37" x14ac:dyDescent="0.3">
      <c r="E541" s="1"/>
      <c r="F541" s="2"/>
      <c r="P541"/>
      <c r="AB541" s="13"/>
      <c r="AF541" s="9"/>
      <c r="AG541" s="9"/>
      <c r="AH541" s="9"/>
      <c r="AI541" s="9"/>
      <c r="AJ541" s="9"/>
      <c r="AK541" s="9"/>
    </row>
    <row r="542" spans="5:37" x14ac:dyDescent="0.3">
      <c r="E542" s="1"/>
      <c r="F542" s="2"/>
      <c r="P542"/>
      <c r="AB542" s="13"/>
      <c r="AF542" s="9"/>
      <c r="AG542" s="9"/>
      <c r="AH542" s="9"/>
      <c r="AI542" s="9"/>
      <c r="AJ542" s="9"/>
      <c r="AK542" s="9"/>
    </row>
    <row r="543" spans="5:37" x14ac:dyDescent="0.3">
      <c r="E543" s="1"/>
      <c r="F543" s="2"/>
      <c r="P543"/>
      <c r="AB543" s="13"/>
      <c r="AF543" s="9"/>
      <c r="AG543" s="9"/>
      <c r="AH543" s="9"/>
      <c r="AI543" s="9"/>
      <c r="AJ543" s="9"/>
      <c r="AK543" s="9"/>
    </row>
    <row r="544" spans="5:37" x14ac:dyDescent="0.3">
      <c r="E544" s="1"/>
      <c r="F544" s="2"/>
      <c r="P544"/>
      <c r="AB544" s="13"/>
      <c r="AF544" s="9"/>
      <c r="AG544" s="9"/>
      <c r="AH544" s="9"/>
      <c r="AI544" s="9"/>
      <c r="AJ544" s="9"/>
      <c r="AK544" s="9"/>
    </row>
    <row r="545" spans="5:37" x14ac:dyDescent="0.3">
      <c r="E545" s="1"/>
      <c r="F545" s="2"/>
      <c r="P545"/>
      <c r="AB545" s="13"/>
      <c r="AF545" s="9"/>
      <c r="AG545" s="9"/>
      <c r="AH545" s="9"/>
      <c r="AI545" s="9"/>
      <c r="AJ545" s="9"/>
      <c r="AK545" s="9"/>
    </row>
    <row r="546" spans="5:37" x14ac:dyDescent="0.3">
      <c r="E546" s="1"/>
      <c r="F546" s="2"/>
      <c r="P546"/>
      <c r="AB546" s="13"/>
      <c r="AF546" s="9"/>
      <c r="AG546" s="9"/>
      <c r="AH546" s="9"/>
      <c r="AI546" s="9"/>
      <c r="AJ546" s="9"/>
      <c r="AK546" s="9"/>
    </row>
    <row r="547" spans="5:37" x14ac:dyDescent="0.3">
      <c r="E547" s="1"/>
      <c r="F547" s="2"/>
      <c r="P547"/>
      <c r="AB547"/>
      <c r="AF547" s="9"/>
      <c r="AG547" s="9"/>
      <c r="AH547" s="9"/>
      <c r="AI547" s="9"/>
      <c r="AJ547" s="9"/>
      <c r="AK547" s="9"/>
    </row>
    <row r="548" spans="5:37" x14ac:dyDescent="0.3">
      <c r="E548" s="1"/>
      <c r="F548" s="2"/>
      <c r="P548"/>
      <c r="AB548"/>
      <c r="AF548" s="9"/>
      <c r="AG548" s="9"/>
      <c r="AH548" s="9"/>
      <c r="AI548" s="9"/>
      <c r="AJ548" s="9"/>
      <c r="AK548" s="9"/>
    </row>
    <row r="549" spans="5:37" x14ac:dyDescent="0.3">
      <c r="E549" s="1"/>
      <c r="F549" s="2"/>
      <c r="P549"/>
      <c r="AB549"/>
      <c r="AF549" s="9"/>
      <c r="AG549" s="9"/>
      <c r="AH549" s="9"/>
      <c r="AI549" s="9"/>
      <c r="AJ549" s="9"/>
      <c r="AK549" s="9"/>
    </row>
    <row r="550" spans="5:37" x14ac:dyDescent="0.3">
      <c r="E550" s="1"/>
      <c r="F550" s="2"/>
      <c r="P550"/>
      <c r="W550" s="7"/>
      <c r="AB550"/>
      <c r="AF550" s="9"/>
      <c r="AG550" s="9"/>
      <c r="AH550" s="9"/>
      <c r="AI550" s="9"/>
      <c r="AJ550" s="9"/>
      <c r="AK550" s="9"/>
    </row>
    <row r="551" spans="5:37" x14ac:dyDescent="0.3">
      <c r="E551" s="1"/>
      <c r="F551" s="2"/>
      <c r="P551"/>
      <c r="W551" s="7"/>
      <c r="AB551"/>
      <c r="AF551" s="9"/>
      <c r="AG551" s="9"/>
      <c r="AH551" s="9"/>
      <c r="AI551" s="9"/>
      <c r="AJ551" s="9"/>
      <c r="AK551" s="9"/>
    </row>
    <row r="552" spans="5:37" x14ac:dyDescent="0.3">
      <c r="E552" s="1"/>
      <c r="F552" s="2"/>
      <c r="P552"/>
      <c r="W552" s="7"/>
      <c r="AB552"/>
      <c r="AF552" s="9"/>
      <c r="AG552" s="9"/>
      <c r="AH552" s="9"/>
      <c r="AI552" s="9"/>
      <c r="AJ552" s="9"/>
      <c r="AK552" s="9"/>
    </row>
    <row r="553" spans="5:37" x14ac:dyDescent="0.3">
      <c r="E553" s="1"/>
      <c r="F553" s="2"/>
      <c r="P553"/>
      <c r="AB553"/>
      <c r="AF553" s="9"/>
      <c r="AG553" s="9"/>
      <c r="AH553" s="9"/>
      <c r="AI553" s="9"/>
      <c r="AJ553" s="9"/>
      <c r="AK553" s="9"/>
    </row>
    <row r="554" spans="5:37" x14ac:dyDescent="0.3">
      <c r="E554" s="1"/>
      <c r="F554" s="2"/>
      <c r="P554"/>
      <c r="AB554"/>
      <c r="AF554" s="9"/>
      <c r="AG554" s="9"/>
      <c r="AH554" s="9"/>
      <c r="AI554" s="9"/>
      <c r="AJ554" s="9"/>
      <c r="AK554" s="9"/>
    </row>
    <row r="555" spans="5:37" x14ac:dyDescent="0.3">
      <c r="E555" s="1"/>
      <c r="F555" s="2"/>
      <c r="P555"/>
      <c r="AB555"/>
      <c r="AF555" s="9"/>
      <c r="AG555" s="9"/>
      <c r="AH555" s="9"/>
      <c r="AI555" s="9"/>
      <c r="AJ555" s="9"/>
      <c r="AK555" s="9"/>
    </row>
    <row r="556" spans="5:37" x14ac:dyDescent="0.3">
      <c r="E556" s="1"/>
      <c r="F556" s="2"/>
      <c r="P556"/>
      <c r="W556" s="7"/>
      <c r="AB556"/>
      <c r="AF556" s="9"/>
      <c r="AG556" s="9"/>
      <c r="AH556" s="9"/>
      <c r="AI556" s="9"/>
      <c r="AJ556" s="9"/>
      <c r="AK556" s="9"/>
    </row>
    <row r="557" spans="5:37" x14ac:dyDescent="0.3">
      <c r="E557" s="1"/>
      <c r="F557" s="2"/>
      <c r="P557"/>
      <c r="W557" s="7"/>
      <c r="AB557"/>
      <c r="AF557" s="9"/>
      <c r="AG557" s="9"/>
      <c r="AH557" s="9"/>
      <c r="AI557" s="9"/>
      <c r="AJ557" s="9"/>
      <c r="AK557" s="9"/>
    </row>
    <row r="558" spans="5:37" x14ac:dyDescent="0.3">
      <c r="E558" s="1"/>
      <c r="F558" s="2"/>
      <c r="P558"/>
      <c r="AB558"/>
      <c r="AF558" s="9"/>
      <c r="AG558" s="9"/>
      <c r="AH558" s="9"/>
      <c r="AI558" s="9"/>
      <c r="AJ558" s="9"/>
      <c r="AK558" s="9"/>
    </row>
    <row r="559" spans="5:37" x14ac:dyDescent="0.3">
      <c r="E559" s="1"/>
      <c r="F559" s="2"/>
      <c r="P559"/>
      <c r="AB559"/>
      <c r="AF559" s="9"/>
      <c r="AG559" s="9"/>
      <c r="AH559" s="9"/>
      <c r="AI559" s="9"/>
      <c r="AJ559" s="9"/>
      <c r="AK559" s="9"/>
    </row>
    <row r="560" spans="5:37" x14ac:dyDescent="0.3">
      <c r="E560" s="1"/>
      <c r="F560" s="2"/>
      <c r="P560"/>
      <c r="AB560"/>
      <c r="AF560" s="9"/>
      <c r="AG560" s="9"/>
      <c r="AH560" s="9"/>
      <c r="AI560" s="9"/>
      <c r="AJ560" s="9"/>
      <c r="AK560" s="9"/>
    </row>
    <row r="561" spans="5:37" x14ac:dyDescent="0.3">
      <c r="E561" s="1"/>
      <c r="F561" s="2"/>
      <c r="P561"/>
      <c r="AB561"/>
      <c r="AF561" s="9"/>
      <c r="AG561" s="9"/>
      <c r="AH561" s="9"/>
      <c r="AI561" s="9"/>
      <c r="AJ561" s="9"/>
      <c r="AK561" s="9"/>
    </row>
    <row r="562" spans="5:37" x14ac:dyDescent="0.3">
      <c r="E562" s="1"/>
      <c r="F562" s="2"/>
      <c r="P562"/>
      <c r="AB562"/>
      <c r="AF562" s="9"/>
      <c r="AG562" s="9"/>
      <c r="AH562" s="9"/>
      <c r="AI562" s="9"/>
      <c r="AJ562" s="9"/>
      <c r="AK562" s="9"/>
    </row>
    <row r="563" spans="5:37" x14ac:dyDescent="0.3">
      <c r="E563" s="1"/>
      <c r="F563" s="2"/>
      <c r="P563"/>
      <c r="AB563"/>
      <c r="AF563" s="9"/>
      <c r="AG563" s="9"/>
      <c r="AH563" s="9"/>
      <c r="AI563" s="9"/>
      <c r="AJ563" s="9"/>
      <c r="AK563" s="9"/>
    </row>
    <row r="564" spans="5:37" x14ac:dyDescent="0.3">
      <c r="E564" s="1"/>
      <c r="F564" s="2"/>
      <c r="P564"/>
      <c r="AB564"/>
      <c r="AF564" s="9"/>
      <c r="AG564" s="9"/>
      <c r="AH564" s="9"/>
      <c r="AI564" s="9"/>
      <c r="AJ564" s="9"/>
      <c r="AK564" s="9"/>
    </row>
    <row r="565" spans="5:37" x14ac:dyDescent="0.3">
      <c r="E565" s="1"/>
      <c r="F565" s="2"/>
      <c r="P565"/>
      <c r="AB565"/>
      <c r="AF565" s="9"/>
      <c r="AG565" s="9"/>
      <c r="AH565" s="9"/>
      <c r="AI565" s="9"/>
      <c r="AJ565" s="9"/>
      <c r="AK565" s="9"/>
    </row>
    <row r="566" spans="5:37" x14ac:dyDescent="0.3">
      <c r="E566" s="1"/>
      <c r="F566" s="2"/>
      <c r="P566"/>
      <c r="AB566"/>
      <c r="AF566" s="9"/>
      <c r="AG566" s="9"/>
      <c r="AH566" s="9"/>
      <c r="AI566" s="9"/>
      <c r="AJ566" s="9"/>
      <c r="AK566" s="9"/>
    </row>
  </sheetData>
  <sortState ref="A2:AM139">
    <sortCondition ref="F2:F139"/>
  </sortState>
  <phoneticPr fontId="18" type="noConversion"/>
  <conditionalFormatting sqref="AB1:AB1048576">
    <cfRule type="cellIs" dxfId="1" priority="3" operator="lessThan">
      <formula>0.2</formula>
    </cfRule>
    <cfRule type="expression" priority="2" stopIfTrue="1">
      <formula>LEN(TRIM(AB1))=0</formula>
    </cfRule>
  </conditionalFormatting>
  <conditionalFormatting sqref="AE1:AE1048576">
    <cfRule type="expression" dxfId="0" priority="1">
      <formula>LEN(TRIM(AE1))=0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ajoumc</dc:creator>
  <cp:lastModifiedBy>ajounm</cp:lastModifiedBy>
  <cp:lastPrinted>2020-04-03T01:41:49Z</cp:lastPrinted>
  <dcterms:created xsi:type="dcterms:W3CDTF">2019-09-03T04:35:12Z</dcterms:created>
  <dcterms:modified xsi:type="dcterms:W3CDTF">2022-04-06T07:07:57Z</dcterms:modified>
</cp:coreProperties>
</file>